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9.83203125" customWidth="1"/>
    <col min="2" max="2" width="50.83203125" customWidth="1"/>
    <col min="3" max="3" width="8.83203125" customWidth="1"/>
    <col min="4" max="4" width="14.83203125" customWidth="1"/>
    <col min="5" max="5" width="9.83203125" customWidth="1"/>
    <col min="6" max="6" width="8.83203125" customWidth="1"/>
    <col min="7" max="7" width="14.83203125" customWidth="1"/>
    <col min="8" max="8" width="15.83203125" customWidth="1"/>
    <col min="9" max="9" width="15.83203125" customWidth="1"/>
    <col min="10" max="10" width="22.83203125" customWidth="1"/>
    <col min="11" max="11" width="10.83203125" customWidth="1"/>
    <col min="12" max="12" width="50.83203125" customWidth="1"/>
  </cols>
  <sheetData>
    <row r="1">
      <c r="A1" t="str">
        <v>Epica</v>
      </c>
      <c r="B1" t="str">
        <v>Historia de Usuario</v>
      </c>
      <c r="C1" t="str">
        <v>Logica</v>
      </c>
      <c r="D1" t="str">
        <v>Dependencias</v>
      </c>
      <c r="E1" t="str">
        <v>Testing</v>
      </c>
      <c r="F1" t="str">
        <v>PCC</v>
      </c>
      <c r="G1" t="str">
        <v>O_Optimistic</v>
      </c>
      <c r="H1" t="str">
        <v>M_Most_Likely</v>
      </c>
      <c r="I1" t="str">
        <v>P_Pessimistic</v>
      </c>
      <c r="J1" t="str">
        <v>Te_Expected_Duration</v>
      </c>
      <c r="K1" t="str">
        <v>Variance</v>
      </c>
      <c r="L1" t="str">
        <v>Notas</v>
      </c>
    </row>
    <row r="2">
      <c r="A2">
        <v>1</v>
      </c>
      <c r="B2" t="str">
        <v>HU-001: Configurar CI/CD</v>
      </c>
      <c r="C2">
        <v>2</v>
      </c>
      <c r="D2">
        <v>3</v>
      </c>
      <c r="E2">
        <v>2</v>
      </c>
      <c r="F2">
        <f>=C2+D2+E2</f>
      </c>
      <c r="G2">
        <v>6</v>
      </c>
      <c r="H2">
        <v>7</v>
      </c>
      <c r="I2">
        <v>9</v>
      </c>
      <c r="J2">
        <f>=(G2+4*H2+I2)/6</f>
      </c>
      <c r="K2">
        <f>=(( I2-G2)/6)^2</f>
      </c>
      <c r="L2" t="str">
        <v>Depende de herramientas cloud.</v>
      </c>
    </row>
    <row r="3">
      <c r="A3">
        <v>1</v>
      </c>
      <c r="B3" t="str">
        <v>HU-002: Esquema inicial BBDD</v>
      </c>
      <c r="C3">
        <v>2</v>
      </c>
      <c r="D3">
        <v>2</v>
      </c>
      <c r="E3">
        <v>2</v>
      </c>
      <c r="F3">
        <f>=C3+D3+E3</f>
      </c>
      <c r="G3">
        <v>5</v>
      </c>
      <c r="H3">
        <v>6</v>
      </c>
      <c r="I3">
        <v>8</v>
      </c>
      <c r="J3">
        <f>=(G3+4*H3+I3)/6</f>
      </c>
      <c r="K3">
        <f>=(( I3-G3)/6)^2</f>
      </c>
      <c r="L3" t="str">
        <v>Basado en el modelo de entidades.</v>
      </c>
    </row>
    <row r="4">
      <c r="A4">
        <v>1</v>
      </c>
      <c r="B4" t="str">
        <v>HU-003: FrameworkResolverService</v>
      </c>
      <c r="C4">
        <v>4</v>
      </c>
      <c r="D4">
        <v>2</v>
      </c>
      <c r="E4">
        <v>4</v>
      </c>
      <c r="F4">
        <f>=C4+D4+E4</f>
      </c>
      <c r="G4">
        <v>7</v>
      </c>
      <c r="H4">
        <v>10</v>
      </c>
      <c r="I4">
        <v>15</v>
      </c>
      <c r="J4">
        <f>=(G4+4*H4+I4)/6</f>
      </c>
      <c r="K4">
        <f>=(( I4-G4)/6)^2</f>
      </c>
      <c r="L4" t="str">
        <v>Logica de resolucion de versiones.</v>
      </c>
    </row>
    <row r="5">
      <c r="A5">
        <v>1</v>
      </c>
      <c r="B5" t="str">
        <v>HU-004: Patrones de Idempotencia y Evidencias</v>
      </c>
      <c r="C5">
        <v>3</v>
      </c>
      <c r="D5">
        <v>3</v>
      </c>
      <c r="E5">
        <v>4</v>
      </c>
      <c r="F5">
        <f>=C5+D5+E5</f>
      </c>
      <c r="G5">
        <v>7</v>
      </c>
      <c r="H5">
        <v>10</v>
      </c>
      <c r="I5">
        <v>15</v>
      </c>
      <c r="J5">
        <f>=(G5+4*H5+I5)/6</f>
      </c>
      <c r="K5">
        <f>=(( I5-G5)/6)^2</f>
      </c>
      <c r="L5" t="str">
        <v>Componentes transversales.</v>
      </c>
    </row>
    <row r="6">
      <c r="A6">
        <v>1</v>
      </c>
      <c r="B6" t="str">
        <v>HU-005: Scaffolding para Actions</v>
      </c>
      <c r="C6">
        <v>3</v>
      </c>
      <c r="D6">
        <v>1</v>
      </c>
      <c r="E6">
        <v>3</v>
      </c>
      <c r="F6">
        <f>=C6+D6+E6</f>
      </c>
      <c r="G6">
        <v>5</v>
      </c>
      <c r="H6">
        <v>7</v>
      </c>
      <c r="I6">
        <v>11</v>
      </c>
      <c r="J6">
        <f>=(G6+4*H6+I6)/6</f>
      </c>
      <c r="K6">
        <f>=(( I6-G6)/6)^2</f>
      </c>
      <c r="L6" t="str">
        <v>Inversion inicial en tooling.</v>
      </c>
    </row>
    <row r="7">
      <c r="A7">
        <v>1</v>
      </c>
      <c r="B7" t="str">
        <v>HU-006: Scaffolding para Listeners</v>
      </c>
      <c r="C7">
        <v>3</v>
      </c>
      <c r="D7">
        <v>1</v>
      </c>
      <c r="E7">
        <v>3</v>
      </c>
      <c r="F7">
        <f>=C7+D7+E7</f>
      </c>
      <c r="G7">
        <v>5</v>
      </c>
      <c r="H7">
        <v>7</v>
      </c>
      <c r="I7">
        <v>11</v>
      </c>
      <c r="J7">
        <f>=(G7+4*H7+I7)/6</f>
      </c>
      <c r="K7">
        <f>=(( I7-G7)/6)^2</f>
      </c>
      <c r="L7" t="str">
        <v>Inversion inicial en tooling.</v>
      </c>
    </row>
    <row r="8">
      <c r="A8">
        <v>1</v>
      </c>
      <c r="B8" t="str">
        <v>HU-007: Scaffolding para Rules y Builders</v>
      </c>
      <c r="C8">
        <v>3</v>
      </c>
      <c r="D8">
        <v>1</v>
      </c>
      <c r="E8">
        <v>3</v>
      </c>
      <c r="F8">
        <f>=C8+D8+E8</f>
      </c>
      <c r="G8">
        <v>5</v>
      </c>
      <c r="H8">
        <v>7</v>
      </c>
      <c r="I8">
        <v>11</v>
      </c>
      <c r="J8">
        <f>=(G8+4*H8+I8)/6</f>
      </c>
      <c r="K8">
        <f>=(( I8-G8)/6)^2</f>
      </c>
      <c r="L8" t="str">
        <v>Inversion inicial en tooling.</v>
      </c>
    </row>
    <row r="9">
      <c r="A9">
        <v>2</v>
      </c>
      <c r="B9" t="str">
        <v>HU-101: Otorgar prestacion</v>
      </c>
      <c r="C9">
        <v>3</v>
      </c>
      <c r="D9">
        <v>4</v>
      </c>
      <c r="E9">
        <v>3</v>
      </c>
      <c r="F9">
        <f>=C9+D9+E9</f>
      </c>
      <c r="G9">
        <v>8</v>
      </c>
      <c r="H9">
        <v>10</v>
      </c>
      <c r="I9">
        <v>14</v>
      </c>
      <c r="J9">
        <f>=(G9+4*H9+I9)/6</f>
      </c>
      <c r="K9">
        <f>=(( I9-G9)/6)^2</f>
      </c>
      <c r="L9" t="str">
        <v>Se beneficia del scaffolding.</v>
      </c>
    </row>
    <row r="10">
      <c r="A10">
        <v>2</v>
      </c>
      <c r="B10" t="str">
        <v>HU-102: Cesar por fallecimiento</v>
      </c>
      <c r="C10">
        <v>3</v>
      </c>
      <c r="D10">
        <v>2</v>
      </c>
      <c r="E10">
        <v>3</v>
      </c>
      <c r="F10">
        <f>=C10+D10+E10</f>
      </c>
      <c r="G10">
        <v>6</v>
      </c>
      <c r="H10">
        <v>8</v>
      </c>
      <c r="I10">
        <v>11</v>
      </c>
      <c r="J10">
        <f>=(G10+4*H10+I10)/6</f>
      </c>
      <c r="K10">
        <f>=(( I10-G10)/6)^2</f>
      </c>
      <c r="L10" t="str">
        <v>Se beneficia del scaffolding.</v>
      </c>
    </row>
    <row r="11">
      <c r="A11">
        <v>2</v>
      </c>
      <c r="B11" t="str">
        <v>HU-103: Cesar por nuevo vinculo</v>
      </c>
      <c r="C11">
        <v>3</v>
      </c>
      <c r="D11">
        <v>2</v>
      </c>
      <c r="E11">
        <v>3</v>
      </c>
      <c r="F11">
        <f>=C11+D11+E11</f>
      </c>
      <c r="G11">
        <v>6</v>
      </c>
      <c r="H11">
        <v>8</v>
      </c>
      <c r="I11">
        <v>11</v>
      </c>
      <c r="J11">
        <f>=(G11+4*H11+I11)/6</f>
      </c>
      <c r="K11">
        <f>=(( I11-G11)/6)^2</f>
      </c>
      <c r="L11" t="str">
        <v>Se beneficia del scaffolding.</v>
      </c>
    </row>
    <row r="12">
      <c r="A12">
        <v>2</v>
      </c>
      <c r="B12" t="str">
        <v>HU-104 (Spike): Analizar modelo para Correciones</v>
      </c>
      <c r="C12">
        <v>3</v>
      </c>
      <c r="D12">
        <v>4</v>
      </c>
      <c r="E12">
        <v>2</v>
      </c>
      <c r="F12">
        <f>=C12+D12+E12</f>
      </c>
      <c r="G12">
        <v>7</v>
      </c>
      <c r="H12">
        <v>9</v>
      </c>
      <c r="I12">
        <v>13</v>
      </c>
      <c r="J12">
        <f>=(G12+4*H12+I12)/6</f>
      </c>
      <c r="K12">
        <f>=(( I12-G12)/6)^2</f>
      </c>
      <c r="L12" t="str">
        <v>Asegura que el modelo soporta Fase 2.</v>
      </c>
    </row>
    <row r="13">
      <c r="A13">
        <v>3</v>
      </c>
      <c r="B13" t="str">
        <v>HU-201: Ingestar archivo IPS</v>
      </c>
      <c r="C13">
        <v>3</v>
      </c>
      <c r="D13">
        <v>2</v>
      </c>
      <c r="E13">
        <v>3</v>
      </c>
      <c r="F13">
        <f>=C13+D13+E13</f>
      </c>
      <c r="G13">
        <v>6</v>
      </c>
      <c r="H13">
        <v>8</v>
      </c>
      <c r="I13">
        <v>11</v>
      </c>
      <c r="J13">
        <f>=(G13+4*H13+I13)/6</f>
      </c>
      <c r="K13">
        <f>=(( I13-G13)/6)^2</f>
      </c>
      <c r="L13" t="str">
        <v>Logica de mapeo y transformacion.</v>
      </c>
    </row>
    <row r="14">
      <c r="A14">
        <v>3</v>
      </c>
      <c r="B14" t="str">
        <v>HU-202: Ingestar archivo SIVEGAM</v>
      </c>
      <c r="C14">
        <v>3</v>
      </c>
      <c r="D14">
        <v>2</v>
      </c>
      <c r="E14">
        <v>3</v>
      </c>
      <c r="F14">
        <f>=C14+D14+E14</f>
      </c>
      <c r="G14">
        <v>6</v>
      </c>
      <c r="H14">
        <v>8</v>
      </c>
      <c r="I14">
        <v>11</v>
      </c>
      <c r="J14">
        <f>=(G14+4*H14+I14)/6</f>
      </c>
      <c r="K14">
        <f>=(( I14-G14)/6)^2</f>
      </c>
      <c r="L14" t="str">
        <v>Logica de mapeo y transformacion.</v>
      </c>
    </row>
    <row r="15">
      <c r="A15">
        <v>3</v>
      </c>
      <c r="B15" t="str">
        <v>HU-203: Ingestar archivo FONASA</v>
      </c>
      <c r="C15">
        <v>2</v>
      </c>
      <c r="D15">
        <v>2</v>
      </c>
      <c r="E15">
        <v>3</v>
      </c>
      <c r="F15">
        <f>=C15+D15+E15</f>
      </c>
      <c r="G15">
        <v>5</v>
      </c>
      <c r="H15">
        <v>7</v>
      </c>
      <c r="I15">
        <v>11</v>
      </c>
      <c r="J15">
        <f>=(G15+4*H15+I15)/6</f>
      </c>
      <c r="K15">
        <f>=(( I15-G15)/6)^2</f>
      </c>
      <c r="L15" t="str">
        <v>Logica de mapeo mas simple.</v>
      </c>
    </row>
    <row r="16">
      <c r="A16">
        <v>3</v>
      </c>
      <c r="B16" t="str">
        <v>HU-204: Ingestar archivos CCAF</v>
      </c>
      <c r="C16">
        <v>3</v>
      </c>
      <c r="D16">
        <v>2</v>
      </c>
      <c r="E16">
        <v>3</v>
      </c>
      <c r="F16">
        <f>=C16+D16+E16</f>
      </c>
      <c r="G16">
        <v>6</v>
      </c>
      <c r="H16">
        <v>8</v>
      </c>
      <c r="I16">
        <v>11</v>
      </c>
      <c r="J16">
        <f>=(G16+4*H16+I16)/6</f>
      </c>
      <c r="K16">
        <f>=(( I16-G16)/6)^2</f>
      </c>
      <c r="L16" t="str">
        <v>Puede requerir un adaptador por CCAF.</v>
      </c>
    </row>
    <row r="17">
      <c r="A17">
        <v>4</v>
      </c>
      <c r="B17" t="str">
        <v>HU-401: Reactivar pension orfandad</v>
      </c>
      <c r="C17">
        <v>3</v>
      </c>
      <c r="D17">
        <v>3</v>
      </c>
      <c r="E17">
        <v>3</v>
      </c>
      <c r="F17">
        <f>=C17+D17+E17</f>
      </c>
      <c r="G17">
        <v>7</v>
      </c>
      <c r="H17">
        <v>9</v>
      </c>
      <c r="I17">
        <v>12</v>
      </c>
      <c r="J17">
        <f>=(G17+4*H17+I17)/6</f>
      </c>
      <c r="K17">
        <f>=(( I17-G17)/6)^2</f>
      </c>
      <c r="L17" t="str">
        <v>Maquina de estados y reglas.</v>
      </c>
    </row>
    <row r="18">
      <c r="A18">
        <v>4</v>
      </c>
      <c r="B18" t="str">
        <v>HU-402: Gestionar retenciones judiciales</v>
      </c>
      <c r="C18">
        <v>4</v>
      </c>
      <c r="D18">
        <v>4</v>
      </c>
      <c r="E18">
        <v>4</v>
      </c>
      <c r="F18">
        <f>=C18+D18+E18</f>
      </c>
      <c r="G18">
        <v>8</v>
      </c>
      <c r="H18">
        <v>12</v>
      </c>
      <c r="I18">
        <v>18</v>
      </c>
      <c r="J18">
        <f>=(G18+4*H18+I18)/6</f>
      </c>
      <c r="K18">
        <f>=(( I18-G18)/6)^2</f>
      </c>
      <c r="L18" t="str">
        <v>Logica de acuerdos y prioridades.</v>
      </c>
    </row>
    <row r="19">
      <c r="A19">
        <v>4</v>
      </c>
      <c r="B19" t="str">
        <v>HU-403: Aplicar revision por agravamiento</v>
      </c>
      <c r="C19">
        <v>4</v>
      </c>
      <c r="D19">
        <v>4</v>
      </c>
      <c r="E19">
        <v>4</v>
      </c>
      <c r="F19">
        <f>=C19+D19+E19</f>
      </c>
      <c r="G19">
        <v>8</v>
      </c>
      <c r="H19">
        <v>12</v>
      </c>
      <c r="I19">
        <v>18</v>
      </c>
      <c r="J19">
        <f>=(G19+4*H19+I19)/6</f>
      </c>
      <c r="K19">
        <f>=(( I19-G19)/6)^2</f>
      </c>
      <c r="L19" t="str">
        <v>Requiere recalculos y comparaciones.</v>
      </c>
    </row>
    <row r="20">
      <c r="A20">
        <v>5</v>
      </c>
      <c r="B20" t="str">
        <v>HU-501.1: Calcular liquidacion individual</v>
      </c>
      <c r="C20">
        <v>4</v>
      </c>
      <c r="D20">
        <v>5</v>
      </c>
      <c r="E20">
        <v>4</v>
      </c>
      <c r="F20">
        <f>=C20+D20+E20</f>
      </c>
      <c r="G20">
        <v>9</v>
      </c>
      <c r="H20">
        <v>13</v>
      </c>
      <c r="I20">
        <v>19</v>
      </c>
      <c r="J20">
        <f>=(G20+4*H20+I20)/6</f>
      </c>
      <c r="K20">
        <f>=(( I20-G20)/6)^2</f>
      </c>
      <c r="L20" t="str">
        <v>Logica compleja. Criterio de Aceptacion Multi-Marco.</v>
      </c>
    </row>
    <row r="21">
      <c r="A21">
        <v>5</v>
      </c>
      <c r="B21" t="str">
        <v>HU-501.2: Orquestador de ejecucion masiva</v>
      </c>
      <c r="C21">
        <v>4</v>
      </c>
      <c r="D21">
        <v>3</v>
      </c>
      <c r="E21">
        <v>4</v>
      </c>
      <c r="F21">
        <f>=C21+D21+E21</f>
      </c>
      <c r="G21">
        <v>8</v>
      </c>
      <c r="H21">
        <v>11</v>
      </c>
      <c r="I21">
        <v>16</v>
      </c>
      <c r="J21">
        <f>=(G21+4*H21+I21)/6</f>
      </c>
      <c r="K21">
        <f>=(( I21-G21)/6)^2</f>
      </c>
      <c r="L21" t="str">
        <v>Gestiona checkpoints y reintentos.</v>
      </c>
    </row>
    <row r="22">
      <c r="A22">
        <v>5</v>
      </c>
      <c r="B22" t="str">
        <v>HU-501.3: Optimizar rendimiento del lote</v>
      </c>
      <c r="C22">
        <v>3</v>
      </c>
      <c r="D22">
        <v>3</v>
      </c>
      <c r="E22">
        <v>4</v>
      </c>
      <c r="F22">
        <f>=C22+D22+E22</f>
      </c>
      <c r="G22">
        <v>7</v>
      </c>
      <c r="H22">
        <v>10</v>
      </c>
      <c r="I22">
        <v>15</v>
      </c>
      <c r="J22">
        <f>=(G22+4*H22+I22)/6</f>
      </c>
      <c r="K22">
        <f>=(( I22-G22)/6)^2</f>
      </c>
      <c r="L22" t="str">
        <v>Cumplir com NFRs de ventana operativa.</v>
      </c>
    </row>
    <row r="23">
      <c r="A23">
        <v>5</v>
      </c>
      <c r="B23" t="str">
        <v>HU-502: Generar archivo Banco de Chile</v>
      </c>
      <c r="C23">
        <v>3</v>
      </c>
      <c r="D23">
        <v>3</v>
      </c>
      <c r="E23">
        <v>3</v>
      </c>
      <c r="F23">
        <f>=C23+D23+E23</f>
      </c>
      <c r="G23">
        <v>7</v>
      </c>
      <c r="H23">
        <v>9</v>
      </c>
      <c r="I23">
        <v>12</v>
      </c>
      <c r="J23">
        <f>=(G23+4*H23+I23)/6</f>
      </c>
      <c r="K23">
        <f>=(( I23-G23)/6)^2</f>
      </c>
      <c r="L23" t="str">
        <v>Formato de archivo especifico.</v>
      </c>
    </row>
    <row r="24">
      <c r="A24">
        <v>5</v>
      </c>
      <c r="B24" t="str">
        <v>HU-503: Generar archivo PREVIRED</v>
      </c>
      <c r="C24">
        <v>3</v>
      </c>
      <c r="D24">
        <v>3</v>
      </c>
      <c r="E24">
        <v>3</v>
      </c>
      <c r="F24">
        <f>=C24+D24+E24</f>
      </c>
      <c r="G24">
        <v>7</v>
      </c>
      <c r="H24">
        <v>9</v>
      </c>
      <c r="I24">
        <v>12</v>
      </c>
      <c r="J24">
        <f>=(G24+4*H24+I24)/6</f>
      </c>
      <c r="K24">
        <f>=(( I24-G24)/6)^2</f>
      </c>
      <c r="L24" t="str">
        <v>Formato de archivo especifico.</v>
      </c>
    </row>
    <row r="25">
      <c r="A25">
        <v>5</v>
      </c>
      <c r="B25" t="str">
        <v>HU-504: Generar comprobante SAP</v>
      </c>
      <c r="C25">
        <v>3</v>
      </c>
      <c r="D25">
        <v>3</v>
      </c>
      <c r="E25">
        <v>3</v>
      </c>
      <c r="F25">
        <f>=C25+D25+E25</f>
      </c>
      <c r="G25">
        <v>7</v>
      </c>
      <c r="H25">
        <v>9</v>
      </c>
      <c r="I25">
        <v>12</v>
      </c>
      <c r="J25">
        <f>=(G25+4*H25+I25)/6</f>
      </c>
      <c r="K25">
        <f>=(( I25-G25)/6)^2</f>
      </c>
      <c r="L25" t="str">
        <v>Formato de archivo especifico.</v>
      </c>
    </row>
    <row r="26">
      <c r="A26">
        <v>6</v>
      </c>
      <c r="B26" t="str">
        <v>HU-601: Calcular pension sobrevivencia</v>
      </c>
      <c r="C26">
        <v>4</v>
      </c>
      <c r="D26">
        <v>4</v>
      </c>
      <c r="E26">
        <v>4</v>
      </c>
      <c r="F26">
        <f>=C26+D26+E26</f>
      </c>
      <c r="G26">
        <v>8</v>
      </c>
      <c r="H26">
        <v>12</v>
      </c>
      <c r="I26">
        <v>18</v>
      </c>
      <c r="J26">
        <f>=(G26+4*H26+I26)/6</f>
      </c>
      <c r="K26">
        <f>=(( I26-G26)/6)^2</f>
      </c>
      <c r="L26" t="str">
        <v>Logica de prorrata, simplificada por patrones.</v>
      </c>
    </row>
    <row r="27">
      <c r="A27">
        <v>6</v>
      </c>
      <c r="B27" t="str">
        <v>HU-602: Recalcular por cese de beneficiario</v>
      </c>
      <c r="C27">
        <v>4</v>
      </c>
      <c r="D27">
        <v>4</v>
      </c>
      <c r="E27">
        <v>4</v>
      </c>
      <c r="F27">
        <f>=C27+D27+E27</f>
      </c>
      <c r="G27">
        <v>8</v>
      </c>
      <c r="H27">
        <v>12</v>
      </c>
      <c r="I27">
        <v>18</v>
      </c>
      <c r="J27">
        <f>=(G27+4*H27+I27)/6</f>
      </c>
      <c r="K27">
        <f>=(( I27-G27)/6)^2</f>
      </c>
      <c r="L27" t="str">
        <v>Logica de acrecimiento.</v>
      </c>
    </row>
    <row r="28">
      <c r="A28">
        <v>7</v>
      </c>
      <c r="B28" t="str">
        <v>HU-701: Generar informe GRIS</v>
      </c>
      <c r="C28">
        <v>4</v>
      </c>
      <c r="D28">
        <v>5</v>
      </c>
      <c r="E28">
        <v>4</v>
      </c>
      <c r="F28">
        <f>=C28+D28+E28</f>
      </c>
      <c r="G28">
        <v>9</v>
      </c>
      <c r="H28">
        <v>13</v>
      </c>
      <c r="I28">
        <v>19</v>
      </c>
      <c r="J28">
        <f>=(G28+4*H28+I28)/6</f>
      </c>
      <c r="K28">
        <f>=(( I28-G28)/6)^2</f>
      </c>
      <c r="L28" t="str">
        <v>Multiples dependencias de datos.</v>
      </c>
    </row>
    <row r="29">
      <c r="A29">
        <v>8</v>
      </c>
      <c r="B29" t="str">
        <v>HU-801: Desarrollar artefactos BDD para Otorgamiento</v>
      </c>
      <c r="C29">
        <v>2</v>
      </c>
      <c r="D29">
        <v>3</v>
      </c>
      <c r="E29">
        <v>3</v>
      </c>
      <c r="F29">
        <f>=C29+D29+E29</f>
      </c>
      <c r="G29">
        <v>6</v>
      </c>
      <c r="H29">
        <v>8</v>
      </c>
      <c r="I29">
        <v>12</v>
      </c>
      <c r="J29">
        <f>=(G29+4*H29+I29)/6</f>
      </c>
      <c r="K29">
        <f>=(( I29-G29)/6)^2</f>
      </c>
      <c r="L29" t="str">
        <v>Cubre HU-101.</v>
      </c>
    </row>
    <row r="30">
      <c r="A30">
        <v>8</v>
      </c>
      <c r="B30" t="str">
        <v>HU-802: Desarrollar artefactos BDD para Calculo</v>
      </c>
      <c r="C30">
        <v>3</v>
      </c>
      <c r="D30">
        <v>4</v>
      </c>
      <c r="E30">
        <v>4</v>
      </c>
      <c r="F30">
        <f>=C30+D30+E30</f>
      </c>
      <c r="G30">
        <v>8</v>
      </c>
      <c r="H30">
        <v>11</v>
      </c>
      <c r="I30">
        <v>16</v>
      </c>
      <c r="J30">
        <f>=(G30+4*H30+I30)/6</f>
      </c>
      <c r="K30">
        <f>=(( I30-G30)/6)^2</f>
      </c>
      <c r="L30" t="str">
        <v>Cubre HU-501.1.</v>
      </c>
    </row>
    <row r="31">
      <c r="A31" t="str">
        <v>Totales</v>
      </c>
      <c r="C31">
        <f>=SUM(C2:C30)</f>
      </c>
      <c r="D31">
        <f>=SUM(D2:D30)</f>
      </c>
      <c r="E31">
        <f>=SUM(E2:E30)</f>
      </c>
      <c r="F31">
        <f>=SUM(F2:F30)</f>
      </c>
      <c r="G31">
        <f>=SUM(G2:G30)</f>
      </c>
      <c r="H31">
        <f>=SUM(H2:H30)</f>
      </c>
      <c r="I31">
        <f>=SUM(I2:I30)</f>
      </c>
      <c r="J31">
        <f>=SUM(J2:J30)</f>
      </c>
      <c r="K31">
        <f>=SUM(K2:K30)</f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