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a/dev/achs/pec/anteproy2/4_plan/alternativa_2/"/>
    </mc:Choice>
  </mc:AlternateContent>
  <xr:revisionPtr revIDLastSave="0" documentId="13_ncr:1_{438CF36B-B15F-0B48-AA27-33588D24EB2C}" xr6:coauthVersionLast="47" xr6:coauthVersionMax="47" xr10:uidLastSave="{00000000-0000-0000-0000-000000000000}"/>
  <bookViews>
    <workbookView xWindow="0" yWindow="500" windowWidth="33600" windowHeight="19060" xr2:uid="{00000000-000D-0000-FFFF-FFFF00000000}"/>
  </bookViews>
  <sheets>
    <sheet name="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1" l="1"/>
  <c r="K86" i="1"/>
  <c r="J86" i="1"/>
  <c r="H86" i="1"/>
  <c r="G86" i="1"/>
  <c r="F86" i="1"/>
  <c r="N85" i="1"/>
  <c r="M85" i="1"/>
  <c r="I85" i="1"/>
  <c r="N84" i="1"/>
  <c r="M84" i="1"/>
  <c r="I84" i="1"/>
  <c r="N83" i="1"/>
  <c r="M83" i="1"/>
  <c r="I83" i="1"/>
  <c r="N82" i="1"/>
  <c r="M82" i="1"/>
  <c r="I82" i="1"/>
  <c r="N81" i="1"/>
  <c r="M81" i="1"/>
  <c r="I81" i="1"/>
  <c r="N80" i="1"/>
  <c r="M80" i="1"/>
  <c r="I80" i="1"/>
  <c r="N79" i="1"/>
  <c r="M79" i="1"/>
  <c r="I79" i="1"/>
  <c r="N78" i="1"/>
  <c r="M78" i="1"/>
  <c r="I78" i="1"/>
  <c r="N77" i="1"/>
  <c r="M77" i="1"/>
  <c r="I77" i="1"/>
  <c r="N76" i="1"/>
  <c r="M76" i="1"/>
  <c r="I76" i="1"/>
  <c r="N75" i="1"/>
  <c r="M75" i="1"/>
  <c r="I75" i="1"/>
  <c r="N74" i="1"/>
  <c r="M74" i="1"/>
  <c r="I74" i="1"/>
  <c r="N73" i="1"/>
  <c r="M73" i="1"/>
  <c r="I73" i="1"/>
  <c r="N72" i="1"/>
  <c r="M72" i="1"/>
  <c r="I72" i="1"/>
  <c r="N71" i="1"/>
  <c r="M71" i="1"/>
  <c r="I71" i="1"/>
  <c r="N70" i="1"/>
  <c r="M70" i="1"/>
  <c r="I70" i="1"/>
  <c r="N69" i="1"/>
  <c r="M69" i="1"/>
  <c r="I69" i="1"/>
  <c r="N68" i="1"/>
  <c r="M68" i="1"/>
  <c r="I68" i="1"/>
  <c r="N67" i="1"/>
  <c r="M67" i="1"/>
  <c r="I67" i="1"/>
  <c r="N66" i="1"/>
  <c r="M66" i="1"/>
  <c r="I66" i="1"/>
  <c r="N65" i="1"/>
  <c r="M65" i="1"/>
  <c r="I65" i="1"/>
  <c r="N64" i="1"/>
  <c r="M64" i="1"/>
  <c r="I64" i="1"/>
  <c r="N63" i="1"/>
  <c r="M63" i="1"/>
  <c r="I63" i="1"/>
  <c r="N62" i="1"/>
  <c r="M62" i="1"/>
  <c r="I62" i="1"/>
  <c r="N61" i="1"/>
  <c r="M61" i="1"/>
  <c r="I61" i="1"/>
  <c r="N60" i="1"/>
  <c r="M60" i="1"/>
  <c r="I60" i="1"/>
  <c r="N59" i="1"/>
  <c r="M59" i="1"/>
  <c r="I59" i="1"/>
  <c r="N58" i="1"/>
  <c r="M58" i="1"/>
  <c r="I58" i="1"/>
  <c r="N57" i="1"/>
  <c r="M57" i="1"/>
  <c r="I57" i="1"/>
  <c r="N56" i="1"/>
  <c r="M56" i="1"/>
  <c r="I56" i="1"/>
  <c r="N55" i="1"/>
  <c r="M55" i="1"/>
  <c r="I55" i="1"/>
  <c r="N54" i="1"/>
  <c r="M54" i="1"/>
  <c r="I54" i="1"/>
  <c r="N53" i="1"/>
  <c r="M53" i="1"/>
  <c r="I53" i="1"/>
  <c r="N52" i="1"/>
  <c r="M52" i="1"/>
  <c r="I52" i="1"/>
  <c r="N51" i="1"/>
  <c r="M51" i="1"/>
  <c r="I51" i="1"/>
  <c r="N50" i="1"/>
  <c r="M50" i="1"/>
  <c r="I50" i="1"/>
  <c r="N49" i="1"/>
  <c r="M49" i="1"/>
  <c r="I49" i="1"/>
  <c r="N48" i="1"/>
  <c r="M48" i="1"/>
  <c r="I48" i="1"/>
  <c r="N47" i="1"/>
  <c r="M47" i="1"/>
  <c r="I47" i="1"/>
  <c r="N46" i="1"/>
  <c r="M46" i="1"/>
  <c r="I46" i="1"/>
  <c r="N45" i="1"/>
  <c r="M45" i="1"/>
  <c r="I45" i="1"/>
  <c r="N44" i="1"/>
  <c r="M44" i="1"/>
  <c r="I44" i="1"/>
  <c r="N43" i="1"/>
  <c r="M43" i="1"/>
  <c r="I43" i="1"/>
  <c r="N42" i="1"/>
  <c r="M42" i="1"/>
  <c r="I42" i="1"/>
  <c r="N41" i="1"/>
  <c r="M41" i="1"/>
  <c r="I41" i="1"/>
  <c r="N40" i="1"/>
  <c r="M40" i="1"/>
  <c r="I40" i="1"/>
  <c r="N39" i="1"/>
  <c r="M39" i="1"/>
  <c r="I39" i="1"/>
  <c r="N38" i="1"/>
  <c r="M38" i="1"/>
  <c r="I38" i="1"/>
  <c r="N37" i="1"/>
  <c r="M37" i="1"/>
  <c r="I37" i="1"/>
  <c r="N36" i="1"/>
  <c r="M36" i="1"/>
  <c r="I36" i="1"/>
  <c r="N35" i="1"/>
  <c r="M35" i="1"/>
  <c r="I35" i="1"/>
  <c r="N34" i="1"/>
  <c r="M34" i="1"/>
  <c r="I34" i="1"/>
  <c r="N33" i="1"/>
  <c r="M33" i="1"/>
  <c r="I33" i="1"/>
  <c r="N32" i="1"/>
  <c r="M32" i="1"/>
  <c r="I32" i="1"/>
  <c r="N31" i="1"/>
  <c r="M31" i="1"/>
  <c r="I31" i="1"/>
  <c r="N30" i="1"/>
  <c r="M30" i="1"/>
  <c r="I30" i="1"/>
  <c r="N29" i="1"/>
  <c r="M29" i="1"/>
  <c r="I29" i="1"/>
  <c r="N28" i="1"/>
  <c r="M28" i="1"/>
  <c r="I28" i="1"/>
  <c r="N27" i="1"/>
  <c r="M27" i="1"/>
  <c r="I27" i="1"/>
  <c r="N26" i="1"/>
  <c r="M26" i="1"/>
  <c r="I26" i="1"/>
  <c r="N25" i="1"/>
  <c r="M25" i="1"/>
  <c r="I25" i="1"/>
  <c r="N24" i="1"/>
  <c r="M24" i="1"/>
  <c r="I24" i="1"/>
  <c r="N23" i="1"/>
  <c r="M23" i="1"/>
  <c r="I23" i="1"/>
  <c r="N22" i="1"/>
  <c r="M22" i="1"/>
  <c r="I22" i="1"/>
  <c r="N21" i="1"/>
  <c r="M21" i="1"/>
  <c r="I21" i="1"/>
  <c r="N20" i="1"/>
  <c r="M20" i="1"/>
  <c r="I20" i="1"/>
  <c r="N19" i="1"/>
  <c r="M19" i="1"/>
  <c r="I19" i="1"/>
  <c r="N18" i="1"/>
  <c r="M18" i="1"/>
  <c r="I18" i="1"/>
  <c r="N17" i="1"/>
  <c r="M17" i="1"/>
  <c r="I17" i="1"/>
  <c r="N16" i="1"/>
  <c r="M16" i="1"/>
  <c r="I16" i="1"/>
  <c r="N15" i="1"/>
  <c r="M15" i="1"/>
  <c r="I15" i="1"/>
  <c r="N14" i="1"/>
  <c r="M14" i="1"/>
  <c r="I14" i="1"/>
  <c r="N13" i="1"/>
  <c r="M13" i="1"/>
  <c r="I13" i="1"/>
  <c r="N12" i="1"/>
  <c r="M12" i="1"/>
  <c r="I12" i="1"/>
  <c r="N11" i="1"/>
  <c r="M11" i="1"/>
  <c r="I11" i="1"/>
  <c r="N10" i="1"/>
  <c r="M10" i="1"/>
  <c r="I10" i="1"/>
  <c r="N9" i="1"/>
  <c r="M9" i="1"/>
  <c r="I9" i="1"/>
  <c r="N8" i="1"/>
  <c r="M8" i="1"/>
  <c r="I8" i="1"/>
  <c r="N7" i="1"/>
  <c r="M7" i="1"/>
  <c r="I7" i="1"/>
  <c r="N6" i="1"/>
  <c r="M6" i="1"/>
  <c r="I6" i="1"/>
  <c r="N5" i="1"/>
  <c r="M5" i="1"/>
  <c r="I5" i="1"/>
  <c r="N4" i="1"/>
  <c r="M4" i="1"/>
  <c r="I4" i="1"/>
  <c r="N3" i="1"/>
  <c r="M3" i="1"/>
  <c r="I3" i="1"/>
  <c r="N2" i="1"/>
  <c r="N86" i="1" s="1"/>
  <c r="M2" i="1"/>
  <c r="M86" i="1" s="1"/>
  <c r="I2" i="1"/>
  <c r="I86" i="1" s="1"/>
</calcChain>
</file>

<file path=xl/sharedStrings.xml><?xml version="1.0" encoding="utf-8"?>
<sst xmlns="http://schemas.openxmlformats.org/spreadsheetml/2006/main" count="424" uniqueCount="328">
  <si>
    <t>Epica</t>
  </si>
  <si>
    <t>ID de HU</t>
  </si>
  <si>
    <t>Nombre Corto</t>
  </si>
  <si>
    <t>Descripcion</t>
  </si>
  <si>
    <t>Release</t>
  </si>
  <si>
    <t>Logica</t>
  </si>
  <si>
    <t>Dependencias</t>
  </si>
  <si>
    <t>Testing</t>
  </si>
  <si>
    <t>PCC</t>
  </si>
  <si>
    <t>O_Optimistic</t>
  </si>
  <si>
    <t>M_Most_Likely</t>
  </si>
  <si>
    <t>P_Pessimistic</t>
  </si>
  <si>
    <t>Te_Expected_Duration</t>
  </si>
  <si>
    <t>Variance</t>
  </si>
  <si>
    <t>Notas</t>
  </si>
  <si>
    <t>HU 1.1</t>
  </si>
  <si>
    <t>Configurar Proyecto</t>
  </si>
  <si>
    <t>Configurar el proyecto AdonisJS 6.</t>
  </si>
  <si>
    <t>R1</t>
  </si>
  <si>
    <t>HU 1.2</t>
  </si>
  <si>
    <t>Pipeline CI/CD</t>
  </si>
  <si>
    <t>Implementar el pipeline de CI/CD (ADR-011).</t>
  </si>
  <si>
    <t>Depende de herramientas cloud.</t>
  </si>
  <si>
    <t>HU 1.3</t>
  </si>
  <si>
    <t>Implementar Patrones Transversales</t>
  </si>
  <si>
    <t>Implementar los patrones transversales (outbox, idempotencia, auditoría).</t>
  </si>
  <si>
    <t>Componentes transversales.</t>
  </si>
  <si>
    <t>HU 1.4</t>
  </si>
  <si>
    <t>Plataforma de Escenarios</t>
  </si>
  <si>
    <t>Configurar la plataforma de escenarios de verificación (ADR-012).</t>
  </si>
  <si>
    <t>HU 1.5</t>
  </si>
  <si>
    <t>Scaffolding para Desarrollo</t>
  </si>
  <si>
    <t>Como Desarrollador, quiero los comandos make:action, make:listener, make:rule y make:builder (ADR-018), para acelerar el desarrollo.</t>
  </si>
  <si>
    <t>Inversion en tooling para consistencia.</t>
  </si>
  <si>
    <t>HU 1.6</t>
  </si>
  <si>
    <t>Configurar Inertia.js y React</t>
  </si>
  <si>
    <t>Como Desarrollador, quiero configurar el proyecto AdonisJS con el adaptador de Inertia.js y la estructura base de React.</t>
  </si>
  <si>
    <t>Habilitador para el Portal de Analistas.</t>
  </si>
  <si>
    <t>HU 1.7</t>
  </si>
  <si>
    <t>Prototipar Front-end</t>
  </si>
  <si>
    <t>Como Diseñador UX/UI, quiero crear un prototipo navegable de alta fidelidad para las 3 pantallas principales (Bandeja, FichaPersona, FVM).</t>
  </si>
  <si>
    <t>Validacion temprana de UX/UI.</t>
  </si>
  <si>
    <t>HU 1.8</t>
  </si>
  <si>
    <t>Implementar RuleExecutorService</t>
  </si>
  <si>
    <t>Como Arquitecto, quiero implementar un RuleExecutorService genérico que pueda instanciar y ejecutar dinámicamente cualquier Regla de Negocio (RDN).</t>
  </si>
  <si>
    <t>Componente critico de arquitectura.</t>
  </si>
  <si>
    <t>HU 1.9</t>
  </si>
  <si>
    <t>Definir DomainEvents y Telemetría</t>
  </si>
  <si>
    <t>Como Arquitecto, quiero definir el catálogo de DomainEvents y la telemetría PDN→EDN/RDN.</t>
  </si>
  <si>
    <t>Outbox, idempotencia y correlacion PDN→EDN/RDN — R1.</t>
  </si>
  <si>
    <t>HU 2.1</t>
  </si>
  <si>
    <t>Implementar Migraciones BBDD</t>
  </si>
  <si>
    <t>Implementar las migraciones de base de datos del MDLO.</t>
  </si>
  <si>
    <t>HU 2.2</t>
  </si>
  <si>
    <t>Implementar FrameworkResolverService</t>
  </si>
  <si>
    <t>Implementar el FrameworkResolverService (ADR-003).</t>
  </si>
  <si>
    <t>Logica de resolucion de versiones.</t>
  </si>
  <si>
    <t>HU 2.3</t>
  </si>
  <si>
    <t>Cargar Artefactos Normativos</t>
  </si>
  <si>
    <t>Cargar artefactos normativos (Marcos y CCL).</t>
  </si>
  <si>
    <t>Analizar Modelo para Correcciones</t>
  </si>
  <si>
    <t>Como Arquitecto, quiero analizar y validar el modelo de datos contra un escenario de corrección retroactiva (PDN-COR-001).</t>
  </si>
  <si>
    <t>Asegura que el modelo soporta R2.</t>
  </si>
  <si>
    <t>HU 3.1</t>
  </si>
  <si>
    <t>Otorgamiento de Pensión Simple</t>
  </si>
  <si>
    <t>Implementar el proceso de otorgamiento de pensión simple.</t>
  </si>
  <si>
    <t>Agrupa subtareas 3.1.1 a 3.1.5</t>
  </si>
  <si>
    <t>HU 3.2</t>
  </si>
  <si>
    <t>Gestionar Asignación Familiar</t>
  </si>
  <si>
    <t>Implementar gestión de Asignación Familiar.</t>
  </si>
  <si>
    <t>HU 3.3</t>
  </si>
  <si>
    <t>Gestionar Cobrantes y Retenciones</t>
  </si>
  <si>
    <t>Implementar gestión de cobrantes y retenciones judiciales.</t>
  </si>
  <si>
    <t>Logica de prioridades.</t>
  </si>
  <si>
    <t>HU 3.4</t>
  </si>
  <si>
    <t>Inactivaciones y Reactivaciones Básicas</t>
  </si>
  <si>
    <t>Implementar inactivaciones y reactivaciones básicas.</t>
  </si>
  <si>
    <t>HU 3.8</t>
  </si>
  <si>
    <t>Cierre de Asignación Familiar</t>
  </si>
  <si>
    <t>Implementar cierre de Asignación Familiar (foto/lock) y congelamiento de cambios post-cierre.</t>
  </si>
  <si>
    <t>Congelar cambios post-cierre — R1.</t>
  </si>
  <si>
    <t>HU 3.9</t>
  </si>
  <si>
    <t>Nuevas Nupcias y Bono Matrimonio</t>
  </si>
  <si>
    <t>Implementar nuevas nupcias (viudez) con cese y pago de bono por matrimonio (pago único) con sus evidencias.</t>
  </si>
  <si>
    <t>R2</t>
  </si>
  <si>
    <t>Cese viudez + pago unico y evidencias — R2.</t>
  </si>
  <si>
    <t>HU 3.10</t>
  </si>
  <si>
    <t>Retroactivo Inicial y Finiquito</t>
  </si>
  <si>
    <t>Implementar retroactivo inicial de otorgamiento con generación de finiquito (detalle de cálculo) y flujo de liberación a pago (vale vista).</t>
  </si>
  <si>
    <t>Detalle de calculo y liberacion a pago — R2.</t>
  </si>
  <si>
    <t>HU 3.11</t>
  </si>
  <si>
    <t>Bypass Controlado por Excepción</t>
  </si>
  <si>
    <t>Implementar bypass controlado por excepción (cuando falta insumo externo crítico) con registro de EXD/VERF.</t>
  </si>
  <si>
    <t>Gobernanza (EXD/VERF) y regularizacion posterior — R2.</t>
  </si>
  <si>
    <t>HU 3.12</t>
  </si>
  <si>
    <t>Gestionar Beneficios Externos</t>
  </si>
  <si>
    <t>Como Analista, quiero gestionar los Beneficios Previsionales Externos de una persona para registrar información clave de otras instituciones.</t>
  </si>
  <si>
    <t>Gestion de datos maestros para incompatibilidades — R2.</t>
  </si>
  <si>
    <t>HU 3.13</t>
  </si>
  <si>
    <t>Gestionar Ciclo de Vida de Deuda</t>
  </si>
  <si>
    <t>Como Analista, quiero gestionar el ciclo de vida de una Deuda, incluyendo su creación, planes de pago y condonación.</t>
  </si>
  <si>
    <t>PDN: PDN-COR-003. Gestion de Deudas, planes de pago y condonacion — R2.</t>
  </si>
  <si>
    <t>HU 4.1</t>
  </si>
  <si>
    <t>Orquestador de Ciclo de Pago</t>
  </si>
  <si>
    <t>Implementar orquestador del ciclo de pago masivo (ADR-010).</t>
  </si>
  <si>
    <t>Logica de ejecucion masiva.</t>
  </si>
  <si>
    <t>HU 4.2.1</t>
  </si>
  <si>
    <t>Calcular Liquidación Individual</t>
  </si>
  <si>
    <t>Como Sistema, quiero implementar el cálculo de una liquidación individual, aplicando haberes y descuentos para una única prestación.</t>
  </si>
  <si>
    <t>Logica mas compleja. Criterio de Aceptacion Multi-Marco.</t>
  </si>
  <si>
    <t>HU 4.2.2</t>
  </si>
  <si>
    <t>Orquestador de Ejecución Masiva</t>
  </si>
  <si>
    <t>Como Sistema, quiero implementar el orquestador de ejecución masiva que procese todas las prestaciones activas.</t>
  </si>
  <si>
    <t>Gestiona checkpoints y reintentos.</t>
  </si>
  <si>
    <t>HU 4.2.3</t>
  </si>
  <si>
    <t>Optimizar Rendimiento del Lote</t>
  </si>
  <si>
    <t>Como Desarrollador, quiero optimizar el rendimiento del lote de pago mensual para cumplir con la ventana operativa.</t>
  </si>
  <si>
    <t>Cumplir com NFRs de ventana operativa.</t>
  </si>
  <si>
    <t>HU 4.3</t>
  </si>
  <si>
    <t>Cálculo de Prorrata por Concurrencia</t>
  </si>
  <si>
    <t>Implementar cálculo de prorrata por concurrencia.</t>
  </si>
  <si>
    <t>HU 4.4</t>
  </si>
  <si>
    <t>Cálculo de Reajuste por IPC</t>
  </si>
  <si>
    <t>Implementar cálculos de reajuste por IPC.</t>
  </si>
  <si>
    <t>HU 4.5</t>
  </si>
  <si>
    <t>Aplicación de Tope del Art. 50</t>
  </si>
  <si>
    <t>Implementar aplicación de tope del Art. 50.</t>
  </si>
  <si>
    <t>RDN: CALC-PLI-013.</t>
  </si>
  <si>
    <t>HU 4.6</t>
  </si>
  <si>
    <t>Pagos Especiales (Aguinaldos)</t>
  </si>
  <si>
    <t>Implementar pagos especiales (aguinaldos).</t>
  </si>
  <si>
    <t>PDN: PDN-PAG-005. R2.</t>
  </si>
  <si>
    <t>HU 4.7</t>
  </si>
  <si>
    <t>Reliquidaciones Multi-Marco</t>
  </si>
  <si>
    <t>Implementar reliquidaciones multi-marco.</t>
  </si>
  <si>
    <t>PDN: PDN-COR-001, PDN-COR-002. R2.</t>
  </si>
  <si>
    <t>HU 4.8</t>
  </si>
  <si>
    <t>Motor de Automatizaciones 'Regulariza'</t>
  </si>
  <si>
    <t>Implementar motor de automatizaciones regulariza (inactivaciones/reactivaciones/etc.), con evidencias PDF/logs por subproceso.</t>
  </si>
  <si>
    <t>Automatizaciones mensuales y PDFs — R1.</t>
  </si>
  <si>
    <t>HU 4.9</t>
  </si>
  <si>
    <t>Preliquidación como Artefacto Formal</t>
  </si>
  <si>
    <t>Implementar preliquidación como artefacto formal (resumen PDF y datos), con flujo de revisión y trazabilidad.</t>
  </si>
  <si>
    <t>Resumen PDF/datos y trazabilidad — R1.</t>
  </si>
  <si>
    <t>HU 4.10</t>
  </si>
  <si>
    <t>Re-ejecución Idempotente y Locks</t>
  </si>
  <si>
    <t>Implementar re-ejecución idempotente de preliquidación/lote y bloqueos por cierre de periodo.</t>
  </si>
  <si>
    <t>Re-ejecucion segura y bloqueos por cierre — R1.</t>
  </si>
  <si>
    <t>HU 4.11</t>
  </si>
  <si>
    <t>Calendario de Cierres y Adelantos</t>
  </si>
  <si>
    <t>Parametrizar calendario de cierres operativos (AF y pagos) y reglas de adelanto en meses con aguinaldo.</t>
  </si>
  <si>
    <t>Cierre variable (aguinaldos) y validaciones — R1.</t>
  </si>
  <si>
    <t>HU 5.0</t>
  </si>
  <si>
    <t>Definir Contratos de Integración</t>
  </si>
  <si>
    <t>Definir contratos y esquemas de integración para todo el ecosistema.</t>
  </si>
  <si>
    <t>Layouts/encoding/PII/transporte/idempotencia/acuse — Gating R1.</t>
  </si>
  <si>
    <t>HU 5.1</t>
  </si>
  <si>
    <t>Generar Archivo para Banco</t>
  </si>
  <si>
    <t>Generar archivo de pago para Banco de Chile.</t>
  </si>
  <si>
    <t>HU 5.2</t>
  </si>
  <si>
    <t>Generar Archivo para PREVIRED</t>
  </si>
  <si>
    <t>Generar archivo de cotizaciones para PREVIRED.</t>
  </si>
  <si>
    <t>HU 5.3</t>
  </si>
  <si>
    <t>Generar Archivo para SAP</t>
  </si>
  <si>
    <t>Generar comprobante contable para SAP.</t>
  </si>
  <si>
    <t>HU 5.4</t>
  </si>
  <si>
    <t>Generar Reporte GRIS</t>
  </si>
  <si>
    <t>Generar reporte regulatorio GRIS para SUSESO.</t>
  </si>
  <si>
    <t>Multiples dependencias de datos.</t>
  </si>
  <si>
    <t>HU 5.5</t>
  </si>
  <si>
    <t>Integración con Registro Civil</t>
  </si>
  <si>
    <t>Implementar integración con Registro Civil.</t>
  </si>
  <si>
    <t>HU 5.6</t>
  </si>
  <si>
    <t>Integración con SIVEGAM</t>
  </si>
  <si>
    <t>Implementar integración automática con SIVEGAM.</t>
  </si>
  <si>
    <t>PDN: PDN-REP-003. R2.</t>
  </si>
  <si>
    <t>HU 5.7</t>
  </si>
  <si>
    <t>Reportería Regulatoria Extendida</t>
  </si>
  <si>
    <t>Implementar reportería regulatoria extendida.</t>
  </si>
  <si>
    <t>R2.</t>
  </si>
  <si>
    <t>HU 5.8</t>
  </si>
  <si>
    <t>Ingesta de Datos IPS/PGU</t>
  </si>
  <si>
    <t>Implementar ingesta de IPS/PGU (PGU, aguinaldos, bono invierno) a tablas temporales y aplicación en cálculo.</t>
  </si>
  <si>
    <t>Tablas temporales y aplicacion en calculo — R1.</t>
  </si>
  <si>
    <t>HU 5.9</t>
  </si>
  <si>
    <t>Ingesta de Datos Fonasa/CCAF</t>
  </si>
  <si>
    <t>Implementar ingesta de Fonasa (préstamos) y CCAF (créditos) para descuentos.</t>
  </si>
  <si>
    <t>Prestamos/creditos para liquidacion — R1.</t>
  </si>
  <si>
    <t>HU 5.10</t>
  </si>
  <si>
    <t>Pagos al Extranjero</t>
  </si>
  <si>
    <t>Implementar pago a terceros en el extranjero (Tesorería/Western Union) y su archivo de salida.</t>
  </si>
  <si>
    <t>Archivo de salida para terceros — R2.</t>
  </si>
  <si>
    <t>HU 5.11</t>
  </si>
  <si>
    <t>Detalle de Cobro de Concurrencia</t>
  </si>
  <si>
    <t>Implementar Detalle de Cobro de Concurrencia para conciliación trimestral con otras entidades.</t>
  </si>
  <si>
    <t>Conciliacion trimestral con otras entidades — R2.</t>
  </si>
  <si>
    <t>HU 5.12</t>
  </si>
  <si>
    <t>Reportes para SUSESO-PIES</t>
  </si>
  <si>
    <t>Implementar reportes de sugerencias SUSESO-PIES (actualizaciones manuales de cargas familiares) a partir de cambios detectados.</t>
  </si>
  <si>
    <t>Actualizaciones manuales de cargas — R2.</t>
  </si>
  <si>
    <t>HU 5.13</t>
  </si>
  <si>
    <t>Reportes Adicionales a IPS</t>
  </si>
  <si>
    <t>Implementar reportes adicionales a IPS (p. ej., capitales vigentes, listados art. 53), según especificación vigente.</t>
  </si>
  <si>
    <t>Capitales vigentes, art. 53 — R2.</t>
  </si>
  <si>
    <t>HU 5.14</t>
  </si>
  <si>
    <t>Contingencias de Integraciones</t>
  </si>
  <si>
    <t>Diseñar contingencias/rollback por integración (Banco, PREVIRED, SAP, GRIS): criterios de activación, procedimientos, y pruebas.</t>
  </si>
  <si>
    <t>Criterios, procedimientos y pruebas — R1.</t>
  </si>
  <si>
    <t>HU 6.1</t>
  </si>
  <si>
    <t>BDD para Camino Feliz</t>
  </si>
  <si>
    <t>Desarrollar BDD para Camino Feliz</t>
  </si>
  <si>
    <t>Cubre HU 3.1 y HU 4.2.1.</t>
  </si>
  <si>
    <t>HU 6.2</t>
  </si>
  <si>
    <t>BDD para Acuerdos de Pago</t>
  </si>
  <si>
    <t>Desarrollar BDD para Acuerdos</t>
  </si>
  <si>
    <t>Cubre HU 3.3.</t>
  </si>
  <si>
    <t>HU 7.1</t>
  </si>
  <si>
    <t>Estrategia de Migración de Datos</t>
  </si>
  <si>
    <t>Definir estrategia de migración de datos (alcance, mapeos, reglas de calidad, reconciliación).</t>
  </si>
  <si>
    <t>Gating R1.</t>
  </si>
  <si>
    <t>HU 7.2</t>
  </si>
  <si>
    <t>Ensayo General de Migración</t>
  </si>
  <si>
    <t>Ejecutar dress rehearsal (ensayo general) de migración con dataset representativo y métricas de éxito.</t>
  </si>
  <si>
    <t>HU 7.3</t>
  </si>
  <si>
    <t>Plan de Cutover</t>
  </si>
  <si>
    <t>Elaborar plan de cutover (ventana, pasos, roles, comunicación) coordinado con operación.</t>
  </si>
  <si>
    <t>HU 7.4</t>
  </si>
  <si>
    <t>Plan de Backout</t>
  </si>
  <si>
    <t>Definir plan de backout (reversa) con criterios, tiempos y validaciones de retorno seguro.</t>
  </si>
  <si>
    <t>HU 7.5</t>
  </si>
  <si>
    <t>Validación Post-Cutover</t>
  </si>
  <si>
    <t>Diseñar y ejecutar validación post-cutover (conciliación contable, liquidaciones, integraciones) con criterios de aceptación.</t>
  </si>
  <si>
    <t>HU 8.1</t>
  </si>
  <si>
    <t>Telemetría y Tableros</t>
  </si>
  <si>
    <t>Implementar telemetría centralizada (logs, métricas, trazas) y tableros de seguimiento.</t>
  </si>
  <si>
    <t>Incluye cobertura EDN/RDN — R1.</t>
  </si>
  <si>
    <t>HU 8.2</t>
  </si>
  <si>
    <t>Alertas y Escalamiento</t>
  </si>
  <si>
    <t>Configurar alertas (SLO breach, fallas de lote, integraciones, outbox/colas) con políticas de escalamiento.</t>
  </si>
  <si>
    <t>R1.</t>
  </si>
  <si>
    <t>HU 8.3</t>
  </si>
  <si>
    <t>Runbooks Operativos</t>
  </si>
  <si>
    <t>Documentar runbooks operativos (procedimientos estándar y de contingencia).</t>
  </si>
  <si>
    <t>HU 8.4</t>
  </si>
  <si>
    <t>Monitoreo de Idempotencia/Outbox</t>
  </si>
  <si>
    <t>Monitorear idempotencia y outbox (reintentos, duplicados, atascos) con reportes periódicos.</t>
  </si>
  <si>
    <t>HU 9.1</t>
  </si>
  <si>
    <t>Política de PII y Clasificación</t>
  </si>
  <si>
    <t>Definir política de PII y clasificación de datos; aplicar principios de minimización y enmascaramiento.</t>
  </si>
  <si>
    <t>HU 9.2</t>
  </si>
  <si>
    <t>Cifrado en Tránsito y Reposo</t>
  </si>
  <si>
    <t>Implementar cifrado en tránsito y en reposo para datos sensibles y artefactos.</t>
  </si>
  <si>
    <t>HU 9.3</t>
  </si>
  <si>
    <t>Control de Acceso por Rol</t>
  </si>
  <si>
    <t>Aplicar controles de acceso por rol (least privilege) y auditoría de accesos.</t>
  </si>
  <si>
    <t>HU 9.4</t>
  </si>
  <si>
    <t>Custodia WORM de Evidencias</t>
  </si>
  <si>
    <t>Establecer custodia WORM para evidencias y reportes requeridos por auditoría/regulador.</t>
  </si>
  <si>
    <t>HU 10.1</t>
  </si>
  <si>
    <t>Manuales y Guías de Operación</t>
  </si>
  <si>
    <t>Elaborar manuales y guías de operación (incluye checklists de cierre y revisión).</t>
  </si>
  <si>
    <t>HU 10.2</t>
  </si>
  <si>
    <t>Capacitación y UAT Guiado</t>
  </si>
  <si>
    <t>Ejecutar capacitaciones y UAT guiado con scripts de demo y criterios de aceptación.</t>
  </si>
  <si>
    <t>HU 10.3</t>
  </si>
  <si>
    <t>Plan de Comunicación y Soporte</t>
  </si>
  <si>
    <t>Planificar comunicación de cambios y soporte (canales, horarios, flujo de incidencias).</t>
  </si>
  <si>
    <t>HU 11.1</t>
  </si>
  <si>
    <t>UI: Librería de Componentes</t>
  </si>
  <si>
    <t>Como Desarrollador Frontend, quiero construir una librería de componentes reutilizables.</t>
  </si>
  <si>
    <t>Base para toda la UI — R1.</t>
  </si>
  <si>
    <t>HU 11.2</t>
  </si>
  <si>
    <t>UI: Layout y Navegación</t>
  </si>
  <si>
    <t>Como Analista, quiero una estructura de aplicación principal navegable (layout, menú, enrutamiento).</t>
  </si>
  <si>
    <t>Enrutamiento y estructura principal — R1.</t>
  </si>
  <si>
    <t>HU 11.3</t>
  </si>
  <si>
    <t>UI: Dashboard y Búsqueda</t>
  </si>
  <si>
    <t>Como Usuario, quiero una pantalla de Dashboard y Búsqueda Global funcionales.</t>
  </si>
  <si>
    <t>KPIs y busqueda global — R1.</t>
  </si>
  <si>
    <t>HU 11.4</t>
  </si>
  <si>
    <t>UI: Bandeja de Tareas</t>
  </si>
  <si>
    <t>Como Analista, quiero la Bandeja de Tareas implementada y conectada a los datos.</t>
  </si>
  <si>
    <t>Filtros, acciones y logica de negocio — R1.</t>
  </si>
  <si>
    <t>HU 11.5</t>
  </si>
  <si>
    <t>UI: Vista FichaPersona</t>
  </si>
  <si>
    <t>Como Analista, quiero la Vista FichaPersona implementada para consultar la información 360° de un beneficiario.</t>
  </si>
  <si>
    <t>Vista 360 con alta densidad de datos — R1.</t>
  </si>
  <si>
    <t>HU 11.6</t>
  </si>
  <si>
    <t>UI: Vista Detalle de Expediente</t>
  </si>
  <si>
    <t>Como Analista, quiero la Vista Detalle de Expediente implementada para analizar los casos del camino feliz de R1.</t>
  </si>
  <si>
    <t>Timeline y visor de documentos — R1.</t>
  </si>
  <si>
    <t>HU 11.7</t>
  </si>
  <si>
    <t>UI: Vista Detalle de Incidente (FVM)</t>
  </si>
  <si>
    <t>Como Supervisor, quiero la Vista Detalle de Incidente (FVM) implementada para gestionar las excepciones de dominio.</t>
  </si>
  <si>
    <t>UI para gobernanza de excepciones — R2.</t>
  </si>
  <si>
    <t>HU 11.8</t>
  </si>
  <si>
    <t>UI: Vista de Procesos Masivos</t>
  </si>
  <si>
    <t>Como Operador de Pagos, quiero la Vista de Procesos Masivos implementada para poder ejecutar y monitorear los ciclos de pago.</t>
  </si>
  <si>
    <t>UI para iniciar y monitorear batches — R1.</t>
  </si>
  <si>
    <t>HU 11.9</t>
  </si>
  <si>
    <t>UI: Algoritmo IPT en Bandeja</t>
  </si>
  <si>
    <t>Como Analista, quiero que la Bandeja de Tareas implemente el algoritmo de Índice de Prioridad de Tarea (IPT).</t>
  </si>
  <si>
    <t>Algoritmo de priorizacion en Bandeja — R1.</t>
  </si>
  <si>
    <t>HU 11.10</t>
  </si>
  <si>
    <t>UI: Pantallas de Administración</t>
  </si>
  <si>
    <t>Como Analista, quiero las pantallas de administración para Beneficios Externos y Deudas.</t>
  </si>
  <si>
    <t>CRUDs para Deudas y Beneficios Externos — R2.</t>
  </si>
  <si>
    <t>HU 12.1</t>
  </si>
  <si>
    <t>FIN: Generar y Enviar Cobros</t>
  </si>
  <si>
    <t>Como Operador Financiero, quiero generar y enviar cobros de concurrencia a otros organismos.</t>
  </si>
  <si>
    <t>Proceso de negocio financiero — R2.</t>
  </si>
  <si>
    <t>HU 12.2</t>
  </si>
  <si>
    <t>FIN: Recibir y Procesar Cobros</t>
  </si>
  <si>
    <t>Como Operador Financiero, quiero una interfaz para recibir, validar y procesar solicitudes de concurrencia de otros organismos.</t>
  </si>
  <si>
    <t>HU 12.3</t>
  </si>
  <si>
    <t>FIN: Compensación Trimestral</t>
  </si>
  <si>
    <t>Como Sistema, quiero ejecutar el proceso de compensación trimestral de deudas y créditos por concurrencia.</t>
  </si>
  <si>
    <t>Proceso batch de conciliacion — R2.</t>
  </si>
  <si>
    <t>HU 13.1</t>
  </si>
  <si>
    <t>MON: Monitoreo Proximidad de Cese</t>
  </si>
  <si>
    <t>Como Sistema, quiero monitorear la proximidad de cese de beneficios para notificar preventivamente a los beneficiarios.</t>
  </si>
  <si>
    <t>Monitor proactivo y comunicacion — R2.</t>
  </si>
  <si>
    <t>HU 13.2</t>
  </si>
  <si>
    <t>MON: Notificaciones a Empleadores/AFP</t>
  </si>
  <si>
    <t>Como Sistema, quiero generar y enviar notificaciones formales y automáticas a empleadores y AFPs.</t>
  </si>
  <si>
    <t>Generacion de documentos regulatorios — R2.</t>
  </si>
  <si>
    <t>Totales</t>
  </si>
  <si>
    <t>HU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</si>
</sst>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M86" sqref="M86"/>
    </sheetView>
  </sheetViews>
  <sheetFormatPr baseColWidth="10" defaultRowHeight="16" x14ac:dyDescent="0.2"/>
  <cols>
    <col min="1" max="1" width="9.83203125" customWidth="1"/>
    <col min="2" max="2" width="16.83203125" customWidth="1"/>
    <col min="3" max="3" width="41.83203125" customWidth="1"/>
    <col min="4" max="4" width="50.83203125" customWidth="1"/>
    <col min="5" max="5" width="9.83203125" customWidth="1"/>
    <col min="6" max="6" width="8.83203125" customWidth="1"/>
    <col min="7" max="7" width="14.83203125" customWidth="1"/>
    <col min="8" max="8" width="9.83203125" customWidth="1"/>
    <col min="9" max="9" width="8.83203125" customWidth="1"/>
    <col min="10" max="10" width="14.83203125" customWidth="1"/>
    <col min="11" max="12" width="15.83203125" customWidth="1"/>
    <col min="13" max="13" width="22.83203125" customWidth="1"/>
    <col min="14" max="14" width="10.83203125" customWidth="1"/>
    <col min="15" max="15" width="50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2</v>
      </c>
      <c r="G2">
        <v>2</v>
      </c>
      <c r="H2">
        <v>2</v>
      </c>
      <c r="I2">
        <f t="shared" ref="I2:I33" si="0">F2+G2+H2</f>
        <v>6</v>
      </c>
      <c r="J2">
        <v>5</v>
      </c>
      <c r="K2">
        <v>6</v>
      </c>
      <c r="L2">
        <v>8</v>
      </c>
      <c r="M2">
        <f t="shared" ref="M2:M33" si="1">(J2+4*K2+L2)/6</f>
        <v>6.166666666666667</v>
      </c>
      <c r="N2">
        <f t="shared" ref="N2:N33" si="2">(( L2-J2)/6)^2</f>
        <v>0.25</v>
      </c>
    </row>
    <row r="3" spans="1:15" x14ac:dyDescent="0.2">
      <c r="A3">
        <v>1</v>
      </c>
      <c r="B3" t="s">
        <v>19</v>
      </c>
      <c r="C3" t="s">
        <v>20</v>
      </c>
      <c r="D3" t="s">
        <v>21</v>
      </c>
      <c r="E3" t="s">
        <v>18</v>
      </c>
      <c r="F3">
        <v>2</v>
      </c>
      <c r="G3">
        <v>3</v>
      </c>
      <c r="H3">
        <v>2</v>
      </c>
      <c r="I3">
        <f t="shared" si="0"/>
        <v>7</v>
      </c>
      <c r="J3">
        <v>6</v>
      </c>
      <c r="K3">
        <v>7</v>
      </c>
      <c r="L3">
        <v>9</v>
      </c>
      <c r="M3">
        <f t="shared" si="1"/>
        <v>7.166666666666667</v>
      </c>
      <c r="N3">
        <f t="shared" si="2"/>
        <v>0.25</v>
      </c>
      <c r="O3" t="s">
        <v>22</v>
      </c>
    </row>
    <row r="4" spans="1:15" x14ac:dyDescent="0.2">
      <c r="A4">
        <v>1</v>
      </c>
      <c r="B4" t="s">
        <v>23</v>
      </c>
      <c r="C4" t="s">
        <v>24</v>
      </c>
      <c r="D4" t="s">
        <v>25</v>
      </c>
      <c r="E4" t="s">
        <v>18</v>
      </c>
      <c r="F4">
        <v>3</v>
      </c>
      <c r="G4">
        <v>3</v>
      </c>
      <c r="H4">
        <v>4</v>
      </c>
      <c r="I4">
        <f t="shared" si="0"/>
        <v>10</v>
      </c>
      <c r="J4">
        <v>7</v>
      </c>
      <c r="K4">
        <v>10</v>
      </c>
      <c r="L4">
        <v>15</v>
      </c>
      <c r="M4">
        <f t="shared" si="1"/>
        <v>10.333333333333334</v>
      </c>
      <c r="N4">
        <f t="shared" si="2"/>
        <v>1.7777777777777777</v>
      </c>
      <c r="O4" t="s">
        <v>26</v>
      </c>
    </row>
    <row r="5" spans="1:15" x14ac:dyDescent="0.2">
      <c r="A5">
        <v>1</v>
      </c>
      <c r="B5" t="s">
        <v>27</v>
      </c>
      <c r="C5" t="s">
        <v>28</v>
      </c>
      <c r="D5" t="s">
        <v>29</v>
      </c>
      <c r="E5" t="s">
        <v>18</v>
      </c>
      <c r="F5">
        <v>3</v>
      </c>
      <c r="G5">
        <v>2</v>
      </c>
      <c r="H5">
        <v>3</v>
      </c>
      <c r="I5">
        <f t="shared" si="0"/>
        <v>8</v>
      </c>
      <c r="J5">
        <v>6</v>
      </c>
      <c r="K5">
        <v>8</v>
      </c>
      <c r="L5">
        <v>11</v>
      </c>
      <c r="M5">
        <f t="shared" si="1"/>
        <v>8.1666666666666661</v>
      </c>
      <c r="N5">
        <f t="shared" si="2"/>
        <v>0.69444444444444453</v>
      </c>
    </row>
    <row r="6" spans="1:15" x14ac:dyDescent="0.2">
      <c r="A6">
        <v>1</v>
      </c>
      <c r="B6" t="s">
        <v>30</v>
      </c>
      <c r="C6" t="s">
        <v>31</v>
      </c>
      <c r="D6" t="s">
        <v>32</v>
      </c>
      <c r="E6" t="s">
        <v>18</v>
      </c>
      <c r="F6">
        <v>3</v>
      </c>
      <c r="G6">
        <v>1</v>
      </c>
      <c r="H6">
        <v>3</v>
      </c>
      <c r="I6">
        <f t="shared" si="0"/>
        <v>7</v>
      </c>
      <c r="J6">
        <v>5</v>
      </c>
      <c r="K6">
        <v>7</v>
      </c>
      <c r="L6">
        <v>11</v>
      </c>
      <c r="M6">
        <f t="shared" si="1"/>
        <v>7.333333333333333</v>
      </c>
      <c r="N6">
        <f t="shared" si="2"/>
        <v>1</v>
      </c>
      <c r="O6" t="s">
        <v>33</v>
      </c>
    </row>
    <row r="7" spans="1:15" x14ac:dyDescent="0.2">
      <c r="A7">
        <v>1</v>
      </c>
      <c r="B7" t="s">
        <v>34</v>
      </c>
      <c r="C7" t="s">
        <v>35</v>
      </c>
      <c r="D7" t="s">
        <v>36</v>
      </c>
      <c r="E7" t="s">
        <v>18</v>
      </c>
      <c r="F7">
        <v>2</v>
      </c>
      <c r="G7">
        <v>2</v>
      </c>
      <c r="H7">
        <v>2</v>
      </c>
      <c r="I7">
        <f t="shared" si="0"/>
        <v>6</v>
      </c>
      <c r="J7">
        <v>5</v>
      </c>
      <c r="K7">
        <v>6</v>
      </c>
      <c r="L7">
        <v>8</v>
      </c>
      <c r="M7">
        <f t="shared" si="1"/>
        <v>6.166666666666667</v>
      </c>
      <c r="N7">
        <f t="shared" si="2"/>
        <v>0.25</v>
      </c>
      <c r="O7" t="s">
        <v>37</v>
      </c>
    </row>
    <row r="8" spans="1:15" x14ac:dyDescent="0.2">
      <c r="A8">
        <v>1</v>
      </c>
      <c r="B8" t="s">
        <v>38</v>
      </c>
      <c r="C8" t="s">
        <v>39</v>
      </c>
      <c r="D8" t="s">
        <v>40</v>
      </c>
      <c r="E8" t="s">
        <v>18</v>
      </c>
      <c r="F8">
        <v>2</v>
      </c>
      <c r="G8">
        <v>3</v>
      </c>
      <c r="H8">
        <v>3</v>
      </c>
      <c r="I8">
        <f t="shared" si="0"/>
        <v>8</v>
      </c>
      <c r="J8">
        <v>6</v>
      </c>
      <c r="K8">
        <v>8</v>
      </c>
      <c r="L8">
        <v>11</v>
      </c>
      <c r="M8">
        <f t="shared" si="1"/>
        <v>8.1666666666666661</v>
      </c>
      <c r="N8">
        <f t="shared" si="2"/>
        <v>0.69444444444444453</v>
      </c>
      <c r="O8" t="s">
        <v>41</v>
      </c>
    </row>
    <row r="9" spans="1:15" x14ac:dyDescent="0.2">
      <c r="A9">
        <v>1</v>
      </c>
      <c r="B9" t="s">
        <v>42</v>
      </c>
      <c r="C9" t="s">
        <v>43</v>
      </c>
      <c r="D9" t="s">
        <v>44</v>
      </c>
      <c r="E9" t="s">
        <v>18</v>
      </c>
      <c r="F9">
        <v>3</v>
      </c>
      <c r="G9">
        <v>4</v>
      </c>
      <c r="H9">
        <v>2</v>
      </c>
      <c r="I9">
        <f t="shared" si="0"/>
        <v>9</v>
      </c>
      <c r="J9">
        <v>7</v>
      </c>
      <c r="K9">
        <v>9</v>
      </c>
      <c r="L9">
        <v>13</v>
      </c>
      <c r="M9">
        <f t="shared" si="1"/>
        <v>9.3333333333333339</v>
      </c>
      <c r="N9">
        <f t="shared" si="2"/>
        <v>1</v>
      </c>
      <c r="O9" t="s">
        <v>45</v>
      </c>
    </row>
    <row r="10" spans="1:15" x14ac:dyDescent="0.2">
      <c r="A10">
        <v>1</v>
      </c>
      <c r="B10" t="s">
        <v>46</v>
      </c>
      <c r="C10" t="s">
        <v>47</v>
      </c>
      <c r="D10" t="s">
        <v>48</v>
      </c>
      <c r="E10" t="s">
        <v>18</v>
      </c>
      <c r="F10">
        <v>3</v>
      </c>
      <c r="G10">
        <v>3</v>
      </c>
      <c r="H10">
        <v>3</v>
      </c>
      <c r="I10">
        <f t="shared" si="0"/>
        <v>9</v>
      </c>
      <c r="J10">
        <v>6</v>
      </c>
      <c r="K10">
        <v>9</v>
      </c>
      <c r="L10">
        <v>13</v>
      </c>
      <c r="M10">
        <f t="shared" si="1"/>
        <v>9.1666666666666661</v>
      </c>
      <c r="N10">
        <f t="shared" si="2"/>
        <v>1.3611111111111114</v>
      </c>
      <c r="O10" t="s">
        <v>49</v>
      </c>
    </row>
    <row r="11" spans="1:15" x14ac:dyDescent="0.2">
      <c r="A11">
        <v>2</v>
      </c>
      <c r="B11" t="s">
        <v>50</v>
      </c>
      <c r="C11" t="s">
        <v>51</v>
      </c>
      <c r="D11" t="s">
        <v>52</v>
      </c>
      <c r="E11" t="s">
        <v>18</v>
      </c>
      <c r="F11">
        <v>2</v>
      </c>
      <c r="G11">
        <v>2</v>
      </c>
      <c r="H11">
        <v>2</v>
      </c>
      <c r="I11">
        <f t="shared" si="0"/>
        <v>6</v>
      </c>
      <c r="J11">
        <v>5</v>
      </c>
      <c r="K11">
        <v>6</v>
      </c>
      <c r="L11">
        <v>8</v>
      </c>
      <c r="M11">
        <f t="shared" si="1"/>
        <v>6.166666666666667</v>
      </c>
      <c r="N11">
        <f t="shared" si="2"/>
        <v>0.25</v>
      </c>
    </row>
    <row r="12" spans="1:15" x14ac:dyDescent="0.2">
      <c r="A12">
        <v>2</v>
      </c>
      <c r="B12" t="s">
        <v>53</v>
      </c>
      <c r="C12" t="s">
        <v>54</v>
      </c>
      <c r="D12" t="s">
        <v>55</v>
      </c>
      <c r="E12" t="s">
        <v>18</v>
      </c>
      <c r="F12">
        <v>4</v>
      </c>
      <c r="G12">
        <v>2</v>
      </c>
      <c r="H12">
        <v>4</v>
      </c>
      <c r="I12">
        <f t="shared" si="0"/>
        <v>10</v>
      </c>
      <c r="J12">
        <v>7</v>
      </c>
      <c r="K12">
        <v>10</v>
      </c>
      <c r="L12">
        <v>15</v>
      </c>
      <c r="M12">
        <f t="shared" si="1"/>
        <v>10.333333333333334</v>
      </c>
      <c r="N12">
        <f t="shared" si="2"/>
        <v>1.7777777777777777</v>
      </c>
      <c r="O12" t="s">
        <v>56</v>
      </c>
    </row>
    <row r="13" spans="1:15" x14ac:dyDescent="0.2">
      <c r="A13">
        <v>2</v>
      </c>
      <c r="B13" t="s">
        <v>57</v>
      </c>
      <c r="C13" t="s">
        <v>58</v>
      </c>
      <c r="D13" t="s">
        <v>59</v>
      </c>
      <c r="E13" t="s">
        <v>18</v>
      </c>
      <c r="F13">
        <v>2</v>
      </c>
      <c r="G13">
        <v>2</v>
      </c>
      <c r="H13">
        <v>2</v>
      </c>
      <c r="I13">
        <f t="shared" si="0"/>
        <v>6</v>
      </c>
      <c r="J13">
        <v>5</v>
      </c>
      <c r="K13">
        <v>6</v>
      </c>
      <c r="L13">
        <v>8</v>
      </c>
      <c r="M13">
        <f t="shared" si="1"/>
        <v>6.166666666666667</v>
      </c>
      <c r="N13">
        <f t="shared" si="2"/>
        <v>0.25</v>
      </c>
    </row>
    <row r="14" spans="1:15" x14ac:dyDescent="0.2">
      <c r="A14">
        <v>2</v>
      </c>
      <c r="B14" t="s">
        <v>327</v>
      </c>
      <c r="C14" t="s">
        <v>60</v>
      </c>
      <c r="D14" t="s">
        <v>61</v>
      </c>
      <c r="E14" t="s">
        <v>18</v>
      </c>
      <c r="F14">
        <v>3</v>
      </c>
      <c r="G14">
        <v>4</v>
      </c>
      <c r="H14">
        <v>2</v>
      </c>
      <c r="I14">
        <f t="shared" si="0"/>
        <v>9</v>
      </c>
      <c r="J14">
        <v>7</v>
      </c>
      <c r="K14">
        <v>9</v>
      </c>
      <c r="L14">
        <v>13</v>
      </c>
      <c r="M14">
        <f t="shared" si="1"/>
        <v>9.3333333333333339</v>
      </c>
      <c r="N14">
        <f t="shared" si="2"/>
        <v>1</v>
      </c>
      <c r="O14" t="s">
        <v>62</v>
      </c>
    </row>
    <row r="15" spans="1:15" x14ac:dyDescent="0.2">
      <c r="A15">
        <v>3</v>
      </c>
      <c r="B15" t="s">
        <v>63</v>
      </c>
      <c r="C15" t="s">
        <v>64</v>
      </c>
      <c r="D15" t="s">
        <v>65</v>
      </c>
      <c r="E15" t="s">
        <v>18</v>
      </c>
      <c r="F15">
        <v>4</v>
      </c>
      <c r="G15">
        <v>3</v>
      </c>
      <c r="H15">
        <v>4</v>
      </c>
      <c r="I15">
        <f t="shared" si="0"/>
        <v>11</v>
      </c>
      <c r="J15">
        <v>8</v>
      </c>
      <c r="K15">
        <v>11</v>
      </c>
      <c r="L15">
        <v>16</v>
      </c>
      <c r="M15">
        <f t="shared" si="1"/>
        <v>11.333333333333334</v>
      </c>
      <c r="N15">
        <f t="shared" si="2"/>
        <v>1.7777777777777777</v>
      </c>
      <c r="O15" t="s">
        <v>66</v>
      </c>
    </row>
    <row r="16" spans="1:15" x14ac:dyDescent="0.2">
      <c r="A16">
        <v>3</v>
      </c>
      <c r="B16" t="s">
        <v>67</v>
      </c>
      <c r="C16" t="s">
        <v>68</v>
      </c>
      <c r="D16" t="s">
        <v>69</v>
      </c>
      <c r="E16" t="s">
        <v>18</v>
      </c>
      <c r="F16">
        <v>3</v>
      </c>
      <c r="G16">
        <v>3</v>
      </c>
      <c r="H16">
        <v>3</v>
      </c>
      <c r="I16">
        <f t="shared" si="0"/>
        <v>9</v>
      </c>
      <c r="J16">
        <v>7</v>
      </c>
      <c r="K16">
        <v>9</v>
      </c>
      <c r="L16">
        <v>12</v>
      </c>
      <c r="M16">
        <f t="shared" si="1"/>
        <v>9.1666666666666661</v>
      </c>
      <c r="N16">
        <f t="shared" si="2"/>
        <v>0.69444444444444453</v>
      </c>
    </row>
    <row r="17" spans="1:15" x14ac:dyDescent="0.2">
      <c r="A17">
        <v>3</v>
      </c>
      <c r="B17" t="s">
        <v>70</v>
      </c>
      <c r="C17" t="s">
        <v>71</v>
      </c>
      <c r="D17" t="s">
        <v>72</v>
      </c>
      <c r="E17" t="s">
        <v>18</v>
      </c>
      <c r="F17">
        <v>4</v>
      </c>
      <c r="G17">
        <v>4</v>
      </c>
      <c r="H17">
        <v>4</v>
      </c>
      <c r="I17">
        <f t="shared" si="0"/>
        <v>12</v>
      </c>
      <c r="J17">
        <v>8</v>
      </c>
      <c r="K17">
        <v>12</v>
      </c>
      <c r="L17">
        <v>18</v>
      </c>
      <c r="M17">
        <f t="shared" si="1"/>
        <v>12.333333333333334</v>
      </c>
      <c r="N17">
        <f t="shared" si="2"/>
        <v>2.7777777777777781</v>
      </c>
      <c r="O17" t="s">
        <v>73</v>
      </c>
    </row>
    <row r="18" spans="1:15" x14ac:dyDescent="0.2">
      <c r="A18">
        <v>3</v>
      </c>
      <c r="B18" t="s">
        <v>74</v>
      </c>
      <c r="C18" t="s">
        <v>75</v>
      </c>
      <c r="D18" t="s">
        <v>76</v>
      </c>
      <c r="E18" t="s">
        <v>18</v>
      </c>
      <c r="F18">
        <v>3</v>
      </c>
      <c r="G18">
        <v>3</v>
      </c>
      <c r="H18">
        <v>3</v>
      </c>
      <c r="I18">
        <f t="shared" si="0"/>
        <v>9</v>
      </c>
      <c r="J18">
        <v>7</v>
      </c>
      <c r="K18">
        <v>9</v>
      </c>
      <c r="L18">
        <v>12</v>
      </c>
      <c r="M18">
        <f t="shared" si="1"/>
        <v>9.1666666666666661</v>
      </c>
      <c r="N18">
        <f t="shared" si="2"/>
        <v>0.69444444444444453</v>
      </c>
    </row>
    <row r="19" spans="1:15" x14ac:dyDescent="0.2">
      <c r="A19">
        <v>3</v>
      </c>
      <c r="B19" t="s">
        <v>77</v>
      </c>
      <c r="C19" t="s">
        <v>78</v>
      </c>
      <c r="D19" t="s">
        <v>79</v>
      </c>
      <c r="E19" t="s">
        <v>18</v>
      </c>
      <c r="F19">
        <v>3</v>
      </c>
      <c r="G19">
        <v>2</v>
      </c>
      <c r="H19">
        <v>3</v>
      </c>
      <c r="I19">
        <f t="shared" si="0"/>
        <v>8</v>
      </c>
      <c r="J19">
        <v>6</v>
      </c>
      <c r="K19">
        <v>8</v>
      </c>
      <c r="L19">
        <v>11</v>
      </c>
      <c r="M19">
        <f t="shared" si="1"/>
        <v>8.1666666666666661</v>
      </c>
      <c r="N19">
        <f t="shared" si="2"/>
        <v>0.69444444444444453</v>
      </c>
      <c r="O19" t="s">
        <v>80</v>
      </c>
    </row>
    <row r="20" spans="1:15" x14ac:dyDescent="0.2">
      <c r="A20">
        <v>3</v>
      </c>
      <c r="B20" t="s">
        <v>81</v>
      </c>
      <c r="C20" t="s">
        <v>82</v>
      </c>
      <c r="D20" t="s">
        <v>83</v>
      </c>
      <c r="E20" t="s">
        <v>84</v>
      </c>
      <c r="F20">
        <v>4</v>
      </c>
      <c r="G20">
        <v>3</v>
      </c>
      <c r="H20">
        <v>4</v>
      </c>
      <c r="I20">
        <f t="shared" si="0"/>
        <v>11</v>
      </c>
      <c r="J20">
        <v>8</v>
      </c>
      <c r="K20">
        <v>11</v>
      </c>
      <c r="L20">
        <v>16</v>
      </c>
      <c r="M20">
        <f t="shared" si="1"/>
        <v>11.333333333333334</v>
      </c>
      <c r="N20">
        <f t="shared" si="2"/>
        <v>1.7777777777777777</v>
      </c>
      <c r="O20" t="s">
        <v>85</v>
      </c>
    </row>
    <row r="21" spans="1:15" x14ac:dyDescent="0.2">
      <c r="A21">
        <v>3</v>
      </c>
      <c r="B21" t="s">
        <v>86</v>
      </c>
      <c r="C21" t="s">
        <v>87</v>
      </c>
      <c r="D21" t="s">
        <v>88</v>
      </c>
      <c r="E21" t="s">
        <v>84</v>
      </c>
      <c r="F21">
        <v>4</v>
      </c>
      <c r="G21">
        <v>4</v>
      </c>
      <c r="H21">
        <v>4</v>
      </c>
      <c r="I21">
        <f t="shared" si="0"/>
        <v>12</v>
      </c>
      <c r="J21">
        <v>8</v>
      </c>
      <c r="K21">
        <v>12</v>
      </c>
      <c r="L21">
        <v>18</v>
      </c>
      <c r="M21">
        <f t="shared" si="1"/>
        <v>12.333333333333334</v>
      </c>
      <c r="N21">
        <f t="shared" si="2"/>
        <v>2.7777777777777781</v>
      </c>
      <c r="O21" t="s">
        <v>89</v>
      </c>
    </row>
    <row r="22" spans="1:15" x14ac:dyDescent="0.2">
      <c r="A22">
        <v>3</v>
      </c>
      <c r="B22" t="s">
        <v>90</v>
      </c>
      <c r="C22" t="s">
        <v>91</v>
      </c>
      <c r="D22" t="s">
        <v>92</v>
      </c>
      <c r="E22" t="s">
        <v>84</v>
      </c>
      <c r="F22">
        <v>3</v>
      </c>
      <c r="G22">
        <v>3</v>
      </c>
      <c r="H22">
        <v>3</v>
      </c>
      <c r="I22">
        <f t="shared" si="0"/>
        <v>9</v>
      </c>
      <c r="J22">
        <v>7</v>
      </c>
      <c r="K22">
        <v>9</v>
      </c>
      <c r="L22">
        <v>12</v>
      </c>
      <c r="M22">
        <f t="shared" si="1"/>
        <v>9.1666666666666661</v>
      </c>
      <c r="N22">
        <f t="shared" si="2"/>
        <v>0.69444444444444453</v>
      </c>
      <c r="O22" t="s">
        <v>93</v>
      </c>
    </row>
    <row r="23" spans="1:15" x14ac:dyDescent="0.2">
      <c r="A23">
        <v>3</v>
      </c>
      <c r="B23" t="s">
        <v>94</v>
      </c>
      <c r="C23" t="s">
        <v>95</v>
      </c>
      <c r="D23" t="s">
        <v>96</v>
      </c>
      <c r="E23" t="s">
        <v>84</v>
      </c>
      <c r="F23">
        <v>3</v>
      </c>
      <c r="G23">
        <v>3</v>
      </c>
      <c r="H23">
        <v>3</v>
      </c>
      <c r="I23">
        <f t="shared" si="0"/>
        <v>9</v>
      </c>
      <c r="J23">
        <v>6</v>
      </c>
      <c r="K23">
        <v>8</v>
      </c>
      <c r="L23">
        <v>11</v>
      </c>
      <c r="M23">
        <f t="shared" si="1"/>
        <v>8.1666666666666661</v>
      </c>
      <c r="N23">
        <f t="shared" si="2"/>
        <v>0.69444444444444453</v>
      </c>
      <c r="O23" t="s">
        <v>97</v>
      </c>
    </row>
    <row r="24" spans="1:15" x14ac:dyDescent="0.2">
      <c r="A24">
        <v>3</v>
      </c>
      <c r="B24" t="s">
        <v>98</v>
      </c>
      <c r="C24" t="s">
        <v>99</v>
      </c>
      <c r="D24" t="s">
        <v>100</v>
      </c>
      <c r="E24" t="s">
        <v>84</v>
      </c>
      <c r="F24">
        <v>4</v>
      </c>
      <c r="G24">
        <v>4</v>
      </c>
      <c r="H24">
        <v>4</v>
      </c>
      <c r="I24">
        <f t="shared" si="0"/>
        <v>12</v>
      </c>
      <c r="J24">
        <v>8</v>
      </c>
      <c r="K24">
        <v>12</v>
      </c>
      <c r="L24">
        <v>18</v>
      </c>
      <c r="M24">
        <f t="shared" si="1"/>
        <v>12.333333333333334</v>
      </c>
      <c r="N24">
        <f t="shared" si="2"/>
        <v>2.7777777777777781</v>
      </c>
      <c r="O24" t="s">
        <v>101</v>
      </c>
    </row>
    <row r="25" spans="1:15" x14ac:dyDescent="0.2">
      <c r="A25">
        <v>4</v>
      </c>
      <c r="B25" t="s">
        <v>102</v>
      </c>
      <c r="C25" t="s">
        <v>103</v>
      </c>
      <c r="D25" t="s">
        <v>104</v>
      </c>
      <c r="E25" t="s">
        <v>18</v>
      </c>
      <c r="F25">
        <v>4</v>
      </c>
      <c r="G25">
        <v>4</v>
      </c>
      <c r="H25">
        <v>4</v>
      </c>
      <c r="I25">
        <f t="shared" si="0"/>
        <v>12</v>
      </c>
      <c r="J25">
        <v>8</v>
      </c>
      <c r="K25">
        <v>12</v>
      </c>
      <c r="L25">
        <v>18</v>
      </c>
      <c r="M25">
        <f t="shared" si="1"/>
        <v>12.333333333333334</v>
      </c>
      <c r="N25">
        <f t="shared" si="2"/>
        <v>2.7777777777777781</v>
      </c>
      <c r="O25" t="s">
        <v>105</v>
      </c>
    </row>
    <row r="26" spans="1:15" x14ac:dyDescent="0.2">
      <c r="A26">
        <v>4</v>
      </c>
      <c r="B26" t="s">
        <v>106</v>
      </c>
      <c r="C26" t="s">
        <v>107</v>
      </c>
      <c r="D26" t="s">
        <v>108</v>
      </c>
      <c r="E26" t="s">
        <v>18</v>
      </c>
      <c r="F26">
        <v>5</v>
      </c>
      <c r="G26">
        <v>5</v>
      </c>
      <c r="H26">
        <v>5</v>
      </c>
      <c r="I26">
        <f t="shared" si="0"/>
        <v>15</v>
      </c>
      <c r="J26">
        <v>10</v>
      </c>
      <c r="K26">
        <v>15</v>
      </c>
      <c r="L26">
        <v>25</v>
      </c>
      <c r="M26">
        <f t="shared" si="1"/>
        <v>15.833333333333334</v>
      </c>
      <c r="N26">
        <f t="shared" si="2"/>
        <v>6.25</v>
      </c>
      <c r="O26" t="s">
        <v>109</v>
      </c>
    </row>
    <row r="27" spans="1:15" x14ac:dyDescent="0.2">
      <c r="A27">
        <v>4</v>
      </c>
      <c r="B27" t="s">
        <v>110</v>
      </c>
      <c r="C27" t="s">
        <v>111</v>
      </c>
      <c r="D27" t="s">
        <v>112</v>
      </c>
      <c r="E27" t="s">
        <v>18</v>
      </c>
      <c r="F27">
        <v>4</v>
      </c>
      <c r="G27">
        <v>3</v>
      </c>
      <c r="H27">
        <v>4</v>
      </c>
      <c r="I27">
        <f t="shared" si="0"/>
        <v>11</v>
      </c>
      <c r="J27">
        <v>8</v>
      </c>
      <c r="K27">
        <v>11</v>
      </c>
      <c r="L27">
        <v>16</v>
      </c>
      <c r="M27">
        <f t="shared" si="1"/>
        <v>11.333333333333334</v>
      </c>
      <c r="N27">
        <f t="shared" si="2"/>
        <v>1.7777777777777777</v>
      </c>
      <c r="O27" t="s">
        <v>113</v>
      </c>
    </row>
    <row r="28" spans="1:15" x14ac:dyDescent="0.2">
      <c r="A28">
        <v>4</v>
      </c>
      <c r="B28" t="s">
        <v>114</v>
      </c>
      <c r="C28" t="s">
        <v>115</v>
      </c>
      <c r="D28" t="s">
        <v>116</v>
      </c>
      <c r="E28" t="s">
        <v>18</v>
      </c>
      <c r="F28">
        <v>3</v>
      </c>
      <c r="G28">
        <v>3</v>
      </c>
      <c r="H28">
        <v>4</v>
      </c>
      <c r="I28">
        <f t="shared" si="0"/>
        <v>10</v>
      </c>
      <c r="J28">
        <v>7</v>
      </c>
      <c r="K28">
        <v>10</v>
      </c>
      <c r="L28">
        <v>15</v>
      </c>
      <c r="M28">
        <f t="shared" si="1"/>
        <v>10.333333333333334</v>
      </c>
      <c r="N28">
        <f t="shared" si="2"/>
        <v>1.7777777777777777</v>
      </c>
      <c r="O28" t="s">
        <v>117</v>
      </c>
    </row>
    <row r="29" spans="1:15" x14ac:dyDescent="0.2">
      <c r="A29">
        <v>4</v>
      </c>
      <c r="B29" t="s">
        <v>118</v>
      </c>
      <c r="C29" t="s">
        <v>119</v>
      </c>
      <c r="D29" t="s">
        <v>120</v>
      </c>
      <c r="E29" t="s">
        <v>18</v>
      </c>
      <c r="F29">
        <v>4</v>
      </c>
      <c r="G29">
        <v>3</v>
      </c>
      <c r="H29">
        <v>4</v>
      </c>
      <c r="I29">
        <f t="shared" si="0"/>
        <v>11</v>
      </c>
      <c r="J29">
        <v>8</v>
      </c>
      <c r="K29">
        <v>11</v>
      </c>
      <c r="L29">
        <v>16</v>
      </c>
      <c r="M29">
        <f t="shared" si="1"/>
        <v>11.333333333333334</v>
      </c>
      <c r="N29">
        <f t="shared" si="2"/>
        <v>1.7777777777777777</v>
      </c>
    </row>
    <row r="30" spans="1:15" x14ac:dyDescent="0.2">
      <c r="A30">
        <v>4</v>
      </c>
      <c r="B30" t="s">
        <v>121</v>
      </c>
      <c r="C30" t="s">
        <v>122</v>
      </c>
      <c r="D30" t="s">
        <v>123</v>
      </c>
      <c r="E30" t="s">
        <v>18</v>
      </c>
      <c r="F30">
        <v>3</v>
      </c>
      <c r="G30">
        <v>2</v>
      </c>
      <c r="H30">
        <v>3</v>
      </c>
      <c r="I30">
        <f t="shared" si="0"/>
        <v>8</v>
      </c>
      <c r="J30">
        <v>6</v>
      </c>
      <c r="K30">
        <v>8</v>
      </c>
      <c r="L30">
        <v>11</v>
      </c>
      <c r="M30">
        <f t="shared" si="1"/>
        <v>8.1666666666666661</v>
      </c>
      <c r="N30">
        <f t="shared" si="2"/>
        <v>0.69444444444444453</v>
      </c>
    </row>
    <row r="31" spans="1:15" x14ac:dyDescent="0.2">
      <c r="A31">
        <v>4</v>
      </c>
      <c r="B31" t="s">
        <v>124</v>
      </c>
      <c r="C31" t="s">
        <v>125</v>
      </c>
      <c r="D31" t="s">
        <v>126</v>
      </c>
      <c r="E31" t="s">
        <v>18</v>
      </c>
      <c r="F31">
        <v>4</v>
      </c>
      <c r="G31">
        <v>3</v>
      </c>
      <c r="H31">
        <v>4</v>
      </c>
      <c r="I31">
        <f t="shared" si="0"/>
        <v>11</v>
      </c>
      <c r="J31">
        <v>8</v>
      </c>
      <c r="K31">
        <v>11</v>
      </c>
      <c r="L31">
        <v>16</v>
      </c>
      <c r="M31">
        <f t="shared" si="1"/>
        <v>11.333333333333334</v>
      </c>
      <c r="N31">
        <f t="shared" si="2"/>
        <v>1.7777777777777777</v>
      </c>
      <c r="O31" t="s">
        <v>127</v>
      </c>
    </row>
    <row r="32" spans="1:15" x14ac:dyDescent="0.2">
      <c r="A32">
        <v>4</v>
      </c>
      <c r="B32" t="s">
        <v>128</v>
      </c>
      <c r="C32" t="s">
        <v>129</v>
      </c>
      <c r="D32" t="s">
        <v>130</v>
      </c>
      <c r="E32" t="s">
        <v>84</v>
      </c>
      <c r="F32">
        <v>3</v>
      </c>
      <c r="G32">
        <v>3</v>
      </c>
      <c r="H32">
        <v>3</v>
      </c>
      <c r="I32">
        <f t="shared" si="0"/>
        <v>9</v>
      </c>
      <c r="J32">
        <v>7</v>
      </c>
      <c r="K32">
        <v>9</v>
      </c>
      <c r="L32">
        <v>13</v>
      </c>
      <c r="M32">
        <f t="shared" si="1"/>
        <v>9.3333333333333339</v>
      </c>
      <c r="N32">
        <f t="shared" si="2"/>
        <v>1</v>
      </c>
      <c r="O32" t="s">
        <v>131</v>
      </c>
    </row>
    <row r="33" spans="1:15" x14ac:dyDescent="0.2">
      <c r="A33">
        <v>4</v>
      </c>
      <c r="B33" t="s">
        <v>132</v>
      </c>
      <c r="C33" t="s">
        <v>133</v>
      </c>
      <c r="D33" t="s">
        <v>134</v>
      </c>
      <c r="E33" t="s">
        <v>84</v>
      </c>
      <c r="F33">
        <v>4</v>
      </c>
      <c r="G33">
        <v>4</v>
      </c>
      <c r="H33">
        <v>4</v>
      </c>
      <c r="I33">
        <f t="shared" si="0"/>
        <v>12</v>
      </c>
      <c r="J33">
        <v>8</v>
      </c>
      <c r="K33">
        <v>12</v>
      </c>
      <c r="L33">
        <v>18</v>
      </c>
      <c r="M33">
        <f t="shared" si="1"/>
        <v>12.333333333333334</v>
      </c>
      <c r="N33">
        <f t="shared" si="2"/>
        <v>2.7777777777777781</v>
      </c>
      <c r="O33" t="s">
        <v>135</v>
      </c>
    </row>
    <row r="34" spans="1:15" x14ac:dyDescent="0.2">
      <c r="A34">
        <v>4</v>
      </c>
      <c r="B34" t="s">
        <v>136</v>
      </c>
      <c r="C34" t="s">
        <v>137</v>
      </c>
      <c r="D34" t="s">
        <v>138</v>
      </c>
      <c r="E34" t="s">
        <v>18</v>
      </c>
      <c r="F34">
        <v>5</v>
      </c>
      <c r="G34">
        <v>4</v>
      </c>
      <c r="H34">
        <v>5</v>
      </c>
      <c r="I34">
        <f t="shared" ref="I34:I65" si="3">F34+G34+H34</f>
        <v>14</v>
      </c>
      <c r="J34">
        <v>10</v>
      </c>
      <c r="K34">
        <v>15</v>
      </c>
      <c r="L34">
        <v>25</v>
      </c>
      <c r="M34">
        <f t="shared" ref="M34:M65" si="4">(J34+4*K34+L34)/6</f>
        <v>15.833333333333334</v>
      </c>
      <c r="N34">
        <f t="shared" ref="N34:N65" si="5">(( L34-J34)/6)^2</f>
        <v>6.25</v>
      </c>
      <c r="O34" t="s">
        <v>139</v>
      </c>
    </row>
    <row r="35" spans="1:15" x14ac:dyDescent="0.2">
      <c r="A35">
        <v>4</v>
      </c>
      <c r="B35" t="s">
        <v>140</v>
      </c>
      <c r="C35" t="s">
        <v>141</v>
      </c>
      <c r="D35" t="s">
        <v>142</v>
      </c>
      <c r="E35" t="s">
        <v>18</v>
      </c>
      <c r="F35">
        <v>3</v>
      </c>
      <c r="G35">
        <v>3</v>
      </c>
      <c r="H35">
        <v>3</v>
      </c>
      <c r="I35">
        <f t="shared" si="3"/>
        <v>9</v>
      </c>
      <c r="J35">
        <v>7</v>
      </c>
      <c r="K35">
        <v>9</v>
      </c>
      <c r="L35">
        <v>12</v>
      </c>
      <c r="M35">
        <f t="shared" si="4"/>
        <v>9.1666666666666661</v>
      </c>
      <c r="N35">
        <f t="shared" si="5"/>
        <v>0.69444444444444453</v>
      </c>
      <c r="O35" t="s">
        <v>143</v>
      </c>
    </row>
    <row r="36" spans="1:15" x14ac:dyDescent="0.2">
      <c r="A36">
        <v>4</v>
      </c>
      <c r="B36" t="s">
        <v>144</v>
      </c>
      <c r="C36" t="s">
        <v>145</v>
      </c>
      <c r="D36" t="s">
        <v>146</v>
      </c>
      <c r="E36" t="s">
        <v>18</v>
      </c>
      <c r="F36">
        <v>4</v>
      </c>
      <c r="G36">
        <v>4</v>
      </c>
      <c r="H36">
        <v>4</v>
      </c>
      <c r="I36">
        <f t="shared" si="3"/>
        <v>12</v>
      </c>
      <c r="J36">
        <v>8</v>
      </c>
      <c r="K36">
        <v>12</v>
      </c>
      <c r="L36">
        <v>18</v>
      </c>
      <c r="M36">
        <f t="shared" si="4"/>
        <v>12.333333333333334</v>
      </c>
      <c r="N36">
        <f t="shared" si="5"/>
        <v>2.7777777777777781</v>
      </c>
      <c r="O36" t="s">
        <v>147</v>
      </c>
    </row>
    <row r="37" spans="1:15" x14ac:dyDescent="0.2">
      <c r="A37">
        <v>4</v>
      </c>
      <c r="B37" t="s">
        <v>148</v>
      </c>
      <c r="C37" t="s">
        <v>149</v>
      </c>
      <c r="D37" t="s">
        <v>150</v>
      </c>
      <c r="E37" t="s">
        <v>18</v>
      </c>
      <c r="F37">
        <v>3</v>
      </c>
      <c r="G37">
        <v>3</v>
      </c>
      <c r="H37">
        <v>3</v>
      </c>
      <c r="I37">
        <f t="shared" si="3"/>
        <v>9</v>
      </c>
      <c r="J37">
        <v>6</v>
      </c>
      <c r="K37">
        <v>9</v>
      </c>
      <c r="L37">
        <v>13</v>
      </c>
      <c r="M37">
        <f t="shared" si="4"/>
        <v>9.1666666666666661</v>
      </c>
      <c r="N37">
        <f t="shared" si="5"/>
        <v>1.3611111111111114</v>
      </c>
      <c r="O37" t="s">
        <v>151</v>
      </c>
    </row>
    <row r="38" spans="1:15" x14ac:dyDescent="0.2">
      <c r="A38">
        <v>5</v>
      </c>
      <c r="B38" t="s">
        <v>152</v>
      </c>
      <c r="C38" t="s">
        <v>153</v>
      </c>
      <c r="D38" t="s">
        <v>154</v>
      </c>
      <c r="E38" t="s">
        <v>18</v>
      </c>
      <c r="F38">
        <v>3</v>
      </c>
      <c r="G38">
        <v>4</v>
      </c>
      <c r="H38">
        <v>3</v>
      </c>
      <c r="I38">
        <f t="shared" si="3"/>
        <v>10</v>
      </c>
      <c r="J38">
        <v>7</v>
      </c>
      <c r="K38">
        <v>10</v>
      </c>
      <c r="L38">
        <v>15</v>
      </c>
      <c r="M38">
        <f t="shared" si="4"/>
        <v>10.333333333333334</v>
      </c>
      <c r="N38">
        <f t="shared" si="5"/>
        <v>1.7777777777777777</v>
      </c>
      <c r="O38" t="s">
        <v>155</v>
      </c>
    </row>
    <row r="39" spans="1:15" x14ac:dyDescent="0.2">
      <c r="A39">
        <v>5</v>
      </c>
      <c r="B39" t="s">
        <v>156</v>
      </c>
      <c r="C39" t="s">
        <v>157</v>
      </c>
      <c r="D39" t="s">
        <v>158</v>
      </c>
      <c r="E39" t="s">
        <v>18</v>
      </c>
      <c r="F39">
        <v>3</v>
      </c>
      <c r="G39">
        <v>3</v>
      </c>
      <c r="H39">
        <v>3</v>
      </c>
      <c r="I39">
        <f t="shared" si="3"/>
        <v>9</v>
      </c>
      <c r="J39">
        <v>7</v>
      </c>
      <c r="K39">
        <v>9</v>
      </c>
      <c r="L39">
        <v>12</v>
      </c>
      <c r="M39">
        <f t="shared" si="4"/>
        <v>9.1666666666666661</v>
      </c>
      <c r="N39">
        <f t="shared" si="5"/>
        <v>0.69444444444444453</v>
      </c>
    </row>
    <row r="40" spans="1:15" x14ac:dyDescent="0.2">
      <c r="A40">
        <v>5</v>
      </c>
      <c r="B40" t="s">
        <v>159</v>
      </c>
      <c r="C40" t="s">
        <v>160</v>
      </c>
      <c r="D40" t="s">
        <v>161</v>
      </c>
      <c r="E40" t="s">
        <v>18</v>
      </c>
      <c r="F40">
        <v>3</v>
      </c>
      <c r="G40">
        <v>3</v>
      </c>
      <c r="H40">
        <v>3</v>
      </c>
      <c r="I40">
        <f t="shared" si="3"/>
        <v>9</v>
      </c>
      <c r="J40">
        <v>7</v>
      </c>
      <c r="K40">
        <v>9</v>
      </c>
      <c r="L40">
        <v>12</v>
      </c>
      <c r="M40">
        <f t="shared" si="4"/>
        <v>9.1666666666666661</v>
      </c>
      <c r="N40">
        <f t="shared" si="5"/>
        <v>0.69444444444444453</v>
      </c>
    </row>
    <row r="41" spans="1:15" x14ac:dyDescent="0.2">
      <c r="A41">
        <v>5</v>
      </c>
      <c r="B41" t="s">
        <v>162</v>
      </c>
      <c r="C41" t="s">
        <v>163</v>
      </c>
      <c r="D41" t="s">
        <v>164</v>
      </c>
      <c r="E41" t="s">
        <v>18</v>
      </c>
      <c r="F41">
        <v>3</v>
      </c>
      <c r="G41">
        <v>3</v>
      </c>
      <c r="H41">
        <v>3</v>
      </c>
      <c r="I41">
        <f t="shared" si="3"/>
        <v>9</v>
      </c>
      <c r="J41">
        <v>7</v>
      </c>
      <c r="K41">
        <v>9</v>
      </c>
      <c r="L41">
        <v>12</v>
      </c>
      <c r="M41">
        <f t="shared" si="4"/>
        <v>9.1666666666666661</v>
      </c>
      <c r="N41">
        <f t="shared" si="5"/>
        <v>0.69444444444444453</v>
      </c>
    </row>
    <row r="42" spans="1:15" x14ac:dyDescent="0.2">
      <c r="A42">
        <v>5</v>
      </c>
      <c r="B42" t="s">
        <v>165</v>
      </c>
      <c r="C42" t="s">
        <v>166</v>
      </c>
      <c r="D42" t="s">
        <v>167</v>
      </c>
      <c r="E42" t="s">
        <v>18</v>
      </c>
      <c r="F42">
        <v>4</v>
      </c>
      <c r="G42">
        <v>5</v>
      </c>
      <c r="H42">
        <v>4</v>
      </c>
      <c r="I42">
        <f t="shared" si="3"/>
        <v>13</v>
      </c>
      <c r="J42">
        <v>9</v>
      </c>
      <c r="K42">
        <v>13</v>
      </c>
      <c r="L42">
        <v>19</v>
      </c>
      <c r="M42">
        <f t="shared" si="4"/>
        <v>13.333333333333334</v>
      </c>
      <c r="N42">
        <f t="shared" si="5"/>
        <v>2.7777777777777781</v>
      </c>
      <c r="O42" t="s">
        <v>168</v>
      </c>
    </row>
    <row r="43" spans="1:15" x14ac:dyDescent="0.2">
      <c r="A43">
        <v>5</v>
      </c>
      <c r="B43" t="s">
        <v>169</v>
      </c>
      <c r="C43" t="s">
        <v>170</v>
      </c>
      <c r="D43" t="s">
        <v>171</v>
      </c>
      <c r="E43" t="s">
        <v>18</v>
      </c>
      <c r="F43">
        <v>3</v>
      </c>
      <c r="G43">
        <v>2</v>
      </c>
      <c r="H43">
        <v>3</v>
      </c>
      <c r="I43">
        <f t="shared" si="3"/>
        <v>8</v>
      </c>
      <c r="J43">
        <v>6</v>
      </c>
      <c r="K43">
        <v>8</v>
      </c>
      <c r="L43">
        <v>11</v>
      </c>
      <c r="M43">
        <f t="shared" si="4"/>
        <v>8.1666666666666661</v>
      </c>
      <c r="N43">
        <f t="shared" si="5"/>
        <v>0.69444444444444453</v>
      </c>
    </row>
    <row r="44" spans="1:15" x14ac:dyDescent="0.2">
      <c r="A44">
        <v>5</v>
      </c>
      <c r="B44" t="s">
        <v>172</v>
      </c>
      <c r="C44" t="s">
        <v>173</v>
      </c>
      <c r="D44" t="s">
        <v>174</v>
      </c>
      <c r="E44" t="s">
        <v>84</v>
      </c>
      <c r="F44">
        <v>3</v>
      </c>
      <c r="G44">
        <v>3</v>
      </c>
      <c r="H44">
        <v>3</v>
      </c>
      <c r="I44">
        <f t="shared" si="3"/>
        <v>9</v>
      </c>
      <c r="J44">
        <v>7</v>
      </c>
      <c r="K44">
        <v>9</v>
      </c>
      <c r="L44">
        <v>12</v>
      </c>
      <c r="M44">
        <f t="shared" si="4"/>
        <v>9.1666666666666661</v>
      </c>
      <c r="N44">
        <f t="shared" si="5"/>
        <v>0.69444444444444453</v>
      </c>
      <c r="O44" t="s">
        <v>175</v>
      </c>
    </row>
    <row r="45" spans="1:15" x14ac:dyDescent="0.2">
      <c r="A45">
        <v>5</v>
      </c>
      <c r="B45" t="s">
        <v>176</v>
      </c>
      <c r="C45" t="s">
        <v>177</v>
      </c>
      <c r="D45" t="s">
        <v>178</v>
      </c>
      <c r="E45" t="s">
        <v>84</v>
      </c>
      <c r="F45">
        <v>3</v>
      </c>
      <c r="G45">
        <v>4</v>
      </c>
      <c r="H45">
        <v>4</v>
      </c>
      <c r="I45">
        <f t="shared" si="3"/>
        <v>11</v>
      </c>
      <c r="J45">
        <v>8</v>
      </c>
      <c r="K45">
        <v>11</v>
      </c>
      <c r="L45">
        <v>16</v>
      </c>
      <c r="M45">
        <f t="shared" si="4"/>
        <v>11.333333333333334</v>
      </c>
      <c r="N45">
        <f t="shared" si="5"/>
        <v>1.7777777777777777</v>
      </c>
      <c r="O45" t="s">
        <v>179</v>
      </c>
    </row>
    <row r="46" spans="1:15" x14ac:dyDescent="0.2">
      <c r="A46">
        <v>5</v>
      </c>
      <c r="B46" t="s">
        <v>180</v>
      </c>
      <c r="C46" t="s">
        <v>181</v>
      </c>
      <c r="D46" t="s">
        <v>182</v>
      </c>
      <c r="E46" t="s">
        <v>18</v>
      </c>
      <c r="F46">
        <v>3</v>
      </c>
      <c r="G46">
        <v>3</v>
      </c>
      <c r="H46">
        <v>3</v>
      </c>
      <c r="I46">
        <f t="shared" si="3"/>
        <v>9</v>
      </c>
      <c r="J46">
        <v>7</v>
      </c>
      <c r="K46">
        <v>9</v>
      </c>
      <c r="L46">
        <v>12</v>
      </c>
      <c r="M46">
        <f t="shared" si="4"/>
        <v>9.1666666666666661</v>
      </c>
      <c r="N46">
        <f t="shared" si="5"/>
        <v>0.69444444444444453</v>
      </c>
      <c r="O46" t="s">
        <v>183</v>
      </c>
    </row>
    <row r="47" spans="1:15" x14ac:dyDescent="0.2">
      <c r="A47">
        <v>5</v>
      </c>
      <c r="B47" t="s">
        <v>184</v>
      </c>
      <c r="C47" t="s">
        <v>185</v>
      </c>
      <c r="D47" t="s">
        <v>186</v>
      </c>
      <c r="E47" t="s">
        <v>18</v>
      </c>
      <c r="F47">
        <v>3</v>
      </c>
      <c r="G47">
        <v>3</v>
      </c>
      <c r="H47">
        <v>3</v>
      </c>
      <c r="I47">
        <f t="shared" si="3"/>
        <v>9</v>
      </c>
      <c r="J47">
        <v>7</v>
      </c>
      <c r="K47">
        <v>9</v>
      </c>
      <c r="L47">
        <v>12</v>
      </c>
      <c r="M47">
        <f t="shared" si="4"/>
        <v>9.1666666666666661</v>
      </c>
      <c r="N47">
        <f t="shared" si="5"/>
        <v>0.69444444444444453</v>
      </c>
      <c r="O47" t="s">
        <v>187</v>
      </c>
    </row>
    <row r="48" spans="1:15" x14ac:dyDescent="0.2">
      <c r="A48">
        <v>5</v>
      </c>
      <c r="B48" t="s">
        <v>188</v>
      </c>
      <c r="C48" t="s">
        <v>189</v>
      </c>
      <c r="D48" t="s">
        <v>190</v>
      </c>
      <c r="E48" t="s">
        <v>84</v>
      </c>
      <c r="F48">
        <v>3</v>
      </c>
      <c r="G48">
        <v>3</v>
      </c>
      <c r="H48">
        <v>3</v>
      </c>
      <c r="I48">
        <f t="shared" si="3"/>
        <v>9</v>
      </c>
      <c r="J48">
        <v>7</v>
      </c>
      <c r="K48">
        <v>9</v>
      </c>
      <c r="L48">
        <v>12</v>
      </c>
      <c r="M48">
        <f t="shared" si="4"/>
        <v>9.1666666666666661</v>
      </c>
      <c r="N48">
        <f t="shared" si="5"/>
        <v>0.69444444444444453</v>
      </c>
      <c r="O48" t="s">
        <v>191</v>
      </c>
    </row>
    <row r="49" spans="1:15" x14ac:dyDescent="0.2">
      <c r="A49">
        <v>5</v>
      </c>
      <c r="B49" t="s">
        <v>192</v>
      </c>
      <c r="C49" t="s">
        <v>193</v>
      </c>
      <c r="D49" t="s">
        <v>194</v>
      </c>
      <c r="E49" t="s">
        <v>84</v>
      </c>
      <c r="F49">
        <v>3</v>
      </c>
      <c r="G49">
        <v>3</v>
      </c>
      <c r="H49">
        <v>4</v>
      </c>
      <c r="I49">
        <f t="shared" si="3"/>
        <v>10</v>
      </c>
      <c r="J49">
        <v>7</v>
      </c>
      <c r="K49">
        <v>10</v>
      </c>
      <c r="L49">
        <v>15</v>
      </c>
      <c r="M49">
        <f t="shared" si="4"/>
        <v>10.333333333333334</v>
      </c>
      <c r="N49">
        <f t="shared" si="5"/>
        <v>1.7777777777777777</v>
      </c>
      <c r="O49" t="s">
        <v>195</v>
      </c>
    </row>
    <row r="50" spans="1:15" x14ac:dyDescent="0.2">
      <c r="A50">
        <v>5</v>
      </c>
      <c r="B50" t="s">
        <v>196</v>
      </c>
      <c r="C50" t="s">
        <v>197</v>
      </c>
      <c r="D50" t="s">
        <v>198</v>
      </c>
      <c r="E50" t="s">
        <v>84</v>
      </c>
      <c r="F50">
        <v>2</v>
      </c>
      <c r="G50">
        <v>2</v>
      </c>
      <c r="H50">
        <v>2</v>
      </c>
      <c r="I50">
        <f t="shared" si="3"/>
        <v>6</v>
      </c>
      <c r="J50">
        <v>5</v>
      </c>
      <c r="K50">
        <v>6</v>
      </c>
      <c r="L50">
        <v>8</v>
      </c>
      <c r="M50">
        <f t="shared" si="4"/>
        <v>6.166666666666667</v>
      </c>
      <c r="N50">
        <f t="shared" si="5"/>
        <v>0.25</v>
      </c>
      <c r="O50" t="s">
        <v>199</v>
      </c>
    </row>
    <row r="51" spans="1:15" x14ac:dyDescent="0.2">
      <c r="A51">
        <v>5</v>
      </c>
      <c r="B51" t="s">
        <v>200</v>
      </c>
      <c r="C51" t="s">
        <v>201</v>
      </c>
      <c r="D51" t="s">
        <v>202</v>
      </c>
      <c r="E51" t="s">
        <v>84</v>
      </c>
      <c r="F51">
        <v>3</v>
      </c>
      <c r="G51">
        <v>3</v>
      </c>
      <c r="H51">
        <v>3</v>
      </c>
      <c r="I51">
        <f t="shared" si="3"/>
        <v>9</v>
      </c>
      <c r="J51">
        <v>7</v>
      </c>
      <c r="K51">
        <v>9</v>
      </c>
      <c r="L51">
        <v>12</v>
      </c>
      <c r="M51">
        <f t="shared" si="4"/>
        <v>9.1666666666666661</v>
      </c>
      <c r="N51">
        <f t="shared" si="5"/>
        <v>0.69444444444444453</v>
      </c>
      <c r="O51" t="s">
        <v>203</v>
      </c>
    </row>
    <row r="52" spans="1:15" x14ac:dyDescent="0.2">
      <c r="A52">
        <v>5</v>
      </c>
      <c r="B52" t="s">
        <v>204</v>
      </c>
      <c r="C52" t="s">
        <v>205</v>
      </c>
      <c r="D52" t="s">
        <v>206</v>
      </c>
      <c r="E52" t="s">
        <v>18</v>
      </c>
      <c r="F52">
        <v>3</v>
      </c>
      <c r="G52">
        <v>3</v>
      </c>
      <c r="H52">
        <v>3</v>
      </c>
      <c r="I52">
        <f t="shared" si="3"/>
        <v>9</v>
      </c>
      <c r="J52">
        <v>6</v>
      </c>
      <c r="K52">
        <v>9</v>
      </c>
      <c r="L52">
        <v>12</v>
      </c>
      <c r="M52">
        <f t="shared" si="4"/>
        <v>9</v>
      </c>
      <c r="N52">
        <f t="shared" si="5"/>
        <v>1</v>
      </c>
      <c r="O52" t="s">
        <v>207</v>
      </c>
    </row>
    <row r="53" spans="1:15" x14ac:dyDescent="0.2">
      <c r="A53">
        <v>6</v>
      </c>
      <c r="B53" t="s">
        <v>208</v>
      </c>
      <c r="C53" t="s">
        <v>209</v>
      </c>
      <c r="D53" t="s">
        <v>210</v>
      </c>
      <c r="E53" t="s">
        <v>18</v>
      </c>
      <c r="F53">
        <v>3</v>
      </c>
      <c r="G53">
        <v>4</v>
      </c>
      <c r="H53">
        <v>4</v>
      </c>
      <c r="I53">
        <f t="shared" si="3"/>
        <v>11</v>
      </c>
      <c r="J53">
        <v>8</v>
      </c>
      <c r="K53">
        <v>11</v>
      </c>
      <c r="L53">
        <v>16</v>
      </c>
      <c r="M53">
        <f t="shared" si="4"/>
        <v>11.333333333333334</v>
      </c>
      <c r="N53">
        <f t="shared" si="5"/>
        <v>1.7777777777777777</v>
      </c>
      <c r="O53" t="s">
        <v>211</v>
      </c>
    </row>
    <row r="54" spans="1:15" x14ac:dyDescent="0.2">
      <c r="A54">
        <v>6</v>
      </c>
      <c r="B54" t="s">
        <v>212</v>
      </c>
      <c r="C54" t="s">
        <v>213</v>
      </c>
      <c r="D54" t="s">
        <v>214</v>
      </c>
      <c r="E54" t="s">
        <v>18</v>
      </c>
      <c r="F54">
        <v>2</v>
      </c>
      <c r="G54">
        <v>3</v>
      </c>
      <c r="H54">
        <v>3</v>
      </c>
      <c r="I54">
        <f t="shared" si="3"/>
        <v>8</v>
      </c>
      <c r="J54">
        <v>6</v>
      </c>
      <c r="K54">
        <v>8</v>
      </c>
      <c r="L54">
        <v>12</v>
      </c>
      <c r="M54">
        <f t="shared" si="4"/>
        <v>8.3333333333333339</v>
      </c>
      <c r="N54">
        <f t="shared" si="5"/>
        <v>1</v>
      </c>
      <c r="O54" t="s">
        <v>215</v>
      </c>
    </row>
    <row r="55" spans="1:15" x14ac:dyDescent="0.2">
      <c r="A55">
        <v>7</v>
      </c>
      <c r="B55" t="s">
        <v>216</v>
      </c>
      <c r="C55" t="s">
        <v>217</v>
      </c>
      <c r="D55" t="s">
        <v>218</v>
      </c>
      <c r="E55" t="s">
        <v>18</v>
      </c>
      <c r="F55">
        <v>4</v>
      </c>
      <c r="G55">
        <v>4</v>
      </c>
      <c r="H55">
        <v>4</v>
      </c>
      <c r="I55">
        <f t="shared" si="3"/>
        <v>12</v>
      </c>
      <c r="J55">
        <v>8</v>
      </c>
      <c r="K55">
        <v>12</v>
      </c>
      <c r="L55">
        <v>18</v>
      </c>
      <c r="M55">
        <f t="shared" si="4"/>
        <v>12.333333333333334</v>
      </c>
      <c r="N55">
        <f t="shared" si="5"/>
        <v>2.7777777777777781</v>
      </c>
      <c r="O55" t="s">
        <v>219</v>
      </c>
    </row>
    <row r="56" spans="1:15" x14ac:dyDescent="0.2">
      <c r="A56">
        <v>7</v>
      </c>
      <c r="B56" t="s">
        <v>220</v>
      </c>
      <c r="C56" t="s">
        <v>221</v>
      </c>
      <c r="D56" t="s">
        <v>222</v>
      </c>
      <c r="E56" t="s">
        <v>18</v>
      </c>
      <c r="F56">
        <v>4</v>
      </c>
      <c r="G56">
        <v>4</v>
      </c>
      <c r="H56">
        <v>5</v>
      </c>
      <c r="I56">
        <f t="shared" si="3"/>
        <v>13</v>
      </c>
      <c r="J56">
        <v>8</v>
      </c>
      <c r="K56">
        <v>13</v>
      </c>
      <c r="L56">
        <v>20</v>
      </c>
      <c r="M56">
        <f t="shared" si="4"/>
        <v>13.333333333333334</v>
      </c>
      <c r="N56">
        <f t="shared" si="5"/>
        <v>4</v>
      </c>
      <c r="O56" t="s">
        <v>219</v>
      </c>
    </row>
    <row r="57" spans="1:15" x14ac:dyDescent="0.2">
      <c r="A57">
        <v>7</v>
      </c>
      <c r="B57" t="s">
        <v>223</v>
      </c>
      <c r="C57" t="s">
        <v>224</v>
      </c>
      <c r="D57" t="s">
        <v>225</v>
      </c>
      <c r="E57" t="s">
        <v>18</v>
      </c>
      <c r="F57">
        <v>3</v>
      </c>
      <c r="G57">
        <v>3</v>
      </c>
      <c r="H57">
        <v>3</v>
      </c>
      <c r="I57">
        <f t="shared" si="3"/>
        <v>9</v>
      </c>
      <c r="J57">
        <v>6</v>
      </c>
      <c r="K57">
        <v>9</v>
      </c>
      <c r="L57">
        <v>12</v>
      </c>
      <c r="M57">
        <f t="shared" si="4"/>
        <v>9</v>
      </c>
      <c r="N57">
        <f t="shared" si="5"/>
        <v>1</v>
      </c>
      <c r="O57" t="s">
        <v>219</v>
      </c>
    </row>
    <row r="58" spans="1:15" x14ac:dyDescent="0.2">
      <c r="A58">
        <v>7</v>
      </c>
      <c r="B58" t="s">
        <v>226</v>
      </c>
      <c r="C58" t="s">
        <v>227</v>
      </c>
      <c r="D58" t="s">
        <v>228</v>
      </c>
      <c r="E58" t="s">
        <v>18</v>
      </c>
      <c r="F58">
        <v>3</v>
      </c>
      <c r="G58">
        <v>3</v>
      </c>
      <c r="H58">
        <v>3</v>
      </c>
      <c r="I58">
        <f t="shared" si="3"/>
        <v>9</v>
      </c>
      <c r="J58">
        <v>6</v>
      </c>
      <c r="K58">
        <v>9</v>
      </c>
      <c r="L58">
        <v>12</v>
      </c>
      <c r="M58">
        <f t="shared" si="4"/>
        <v>9</v>
      </c>
      <c r="N58">
        <f t="shared" si="5"/>
        <v>1</v>
      </c>
      <c r="O58" t="s">
        <v>219</v>
      </c>
    </row>
    <row r="59" spans="1:15" x14ac:dyDescent="0.2">
      <c r="A59">
        <v>7</v>
      </c>
      <c r="B59" t="s">
        <v>229</v>
      </c>
      <c r="C59" t="s">
        <v>230</v>
      </c>
      <c r="D59" t="s">
        <v>231</v>
      </c>
      <c r="E59" t="s">
        <v>18</v>
      </c>
      <c r="F59">
        <v>4</v>
      </c>
      <c r="G59">
        <v>4</v>
      </c>
      <c r="H59">
        <v>4</v>
      </c>
      <c r="I59">
        <f t="shared" si="3"/>
        <v>12</v>
      </c>
      <c r="J59">
        <v>8</v>
      </c>
      <c r="K59">
        <v>12</v>
      </c>
      <c r="L59">
        <v>18</v>
      </c>
      <c r="M59">
        <f t="shared" si="4"/>
        <v>12.333333333333334</v>
      </c>
      <c r="N59">
        <f t="shared" si="5"/>
        <v>2.7777777777777781</v>
      </c>
      <c r="O59" t="s">
        <v>219</v>
      </c>
    </row>
    <row r="60" spans="1:15" x14ac:dyDescent="0.2">
      <c r="A60">
        <v>8</v>
      </c>
      <c r="B60" t="s">
        <v>232</v>
      </c>
      <c r="C60" t="s">
        <v>233</v>
      </c>
      <c r="D60" t="s">
        <v>234</v>
      </c>
      <c r="E60" t="s">
        <v>18</v>
      </c>
      <c r="F60">
        <v>3</v>
      </c>
      <c r="G60">
        <v>2</v>
      </c>
      <c r="H60">
        <v>3</v>
      </c>
      <c r="I60">
        <f t="shared" si="3"/>
        <v>8</v>
      </c>
      <c r="J60">
        <v>6</v>
      </c>
      <c r="K60">
        <v>8</v>
      </c>
      <c r="L60">
        <v>12</v>
      </c>
      <c r="M60">
        <f t="shared" si="4"/>
        <v>8.3333333333333339</v>
      </c>
      <c r="N60">
        <f t="shared" si="5"/>
        <v>1</v>
      </c>
      <c r="O60" t="s">
        <v>235</v>
      </c>
    </row>
    <row r="61" spans="1:15" x14ac:dyDescent="0.2">
      <c r="A61">
        <v>8</v>
      </c>
      <c r="B61" t="s">
        <v>236</v>
      </c>
      <c r="C61" t="s">
        <v>237</v>
      </c>
      <c r="D61" t="s">
        <v>238</v>
      </c>
      <c r="E61" t="s">
        <v>18</v>
      </c>
      <c r="F61">
        <v>3</v>
      </c>
      <c r="G61">
        <v>2</v>
      </c>
      <c r="H61">
        <v>3</v>
      </c>
      <c r="I61">
        <f t="shared" si="3"/>
        <v>8</v>
      </c>
      <c r="J61">
        <v>6</v>
      </c>
      <c r="K61">
        <v>8</v>
      </c>
      <c r="L61">
        <v>11</v>
      </c>
      <c r="M61">
        <f t="shared" si="4"/>
        <v>8.1666666666666661</v>
      </c>
      <c r="N61">
        <f t="shared" si="5"/>
        <v>0.69444444444444453</v>
      </c>
      <c r="O61" t="s">
        <v>239</v>
      </c>
    </row>
    <row r="62" spans="1:15" x14ac:dyDescent="0.2">
      <c r="A62">
        <v>8</v>
      </c>
      <c r="B62" t="s">
        <v>240</v>
      </c>
      <c r="C62" t="s">
        <v>241</v>
      </c>
      <c r="D62" t="s">
        <v>242</v>
      </c>
      <c r="E62" t="s">
        <v>18</v>
      </c>
      <c r="F62">
        <v>2</v>
      </c>
      <c r="G62">
        <v>2</v>
      </c>
      <c r="H62">
        <v>2</v>
      </c>
      <c r="I62">
        <f t="shared" si="3"/>
        <v>6</v>
      </c>
      <c r="J62">
        <v>4</v>
      </c>
      <c r="K62">
        <v>6</v>
      </c>
      <c r="L62">
        <v>8</v>
      </c>
      <c r="M62">
        <f t="shared" si="4"/>
        <v>6</v>
      </c>
      <c r="N62">
        <f t="shared" si="5"/>
        <v>0.44444444444444442</v>
      </c>
      <c r="O62" t="s">
        <v>239</v>
      </c>
    </row>
    <row r="63" spans="1:15" x14ac:dyDescent="0.2">
      <c r="A63">
        <v>8</v>
      </c>
      <c r="B63" t="s">
        <v>243</v>
      </c>
      <c r="C63" t="s">
        <v>244</v>
      </c>
      <c r="D63" t="s">
        <v>245</v>
      </c>
      <c r="E63" t="s">
        <v>18</v>
      </c>
      <c r="F63">
        <v>3</v>
      </c>
      <c r="G63">
        <v>2</v>
      </c>
      <c r="H63">
        <v>3</v>
      </c>
      <c r="I63">
        <f t="shared" si="3"/>
        <v>8</v>
      </c>
      <c r="J63">
        <v>6</v>
      </c>
      <c r="K63">
        <v>8</v>
      </c>
      <c r="L63">
        <v>12</v>
      </c>
      <c r="M63">
        <f t="shared" si="4"/>
        <v>8.3333333333333339</v>
      </c>
      <c r="N63">
        <f t="shared" si="5"/>
        <v>1</v>
      </c>
      <c r="O63" t="s">
        <v>239</v>
      </c>
    </row>
    <row r="64" spans="1:15" x14ac:dyDescent="0.2">
      <c r="A64">
        <v>9</v>
      </c>
      <c r="B64" t="s">
        <v>246</v>
      </c>
      <c r="C64" t="s">
        <v>247</v>
      </c>
      <c r="D64" t="s">
        <v>248</v>
      </c>
      <c r="E64" t="s">
        <v>18</v>
      </c>
      <c r="F64">
        <v>3</v>
      </c>
      <c r="G64">
        <v>2</v>
      </c>
      <c r="H64">
        <v>2</v>
      </c>
      <c r="I64">
        <f t="shared" si="3"/>
        <v>7</v>
      </c>
      <c r="J64">
        <v>5</v>
      </c>
      <c r="K64">
        <v>7</v>
      </c>
      <c r="L64">
        <v>10</v>
      </c>
      <c r="M64">
        <f t="shared" si="4"/>
        <v>7.166666666666667</v>
      </c>
      <c r="N64">
        <f t="shared" si="5"/>
        <v>0.69444444444444453</v>
      </c>
      <c r="O64" t="s">
        <v>239</v>
      </c>
    </row>
    <row r="65" spans="1:15" x14ac:dyDescent="0.2">
      <c r="A65">
        <v>9</v>
      </c>
      <c r="B65" t="s">
        <v>249</v>
      </c>
      <c r="C65" t="s">
        <v>250</v>
      </c>
      <c r="D65" t="s">
        <v>251</v>
      </c>
      <c r="E65" t="s">
        <v>18</v>
      </c>
      <c r="F65">
        <v>3</v>
      </c>
      <c r="G65">
        <v>3</v>
      </c>
      <c r="H65">
        <v>3</v>
      </c>
      <c r="I65">
        <f t="shared" si="3"/>
        <v>9</v>
      </c>
      <c r="J65">
        <v>6</v>
      </c>
      <c r="K65">
        <v>9</v>
      </c>
      <c r="L65">
        <v>13</v>
      </c>
      <c r="M65">
        <f t="shared" si="4"/>
        <v>9.1666666666666661</v>
      </c>
      <c r="N65">
        <f t="shared" si="5"/>
        <v>1.3611111111111114</v>
      </c>
      <c r="O65" t="s">
        <v>239</v>
      </c>
    </row>
    <row r="66" spans="1:15" x14ac:dyDescent="0.2">
      <c r="A66">
        <v>9</v>
      </c>
      <c r="B66" t="s">
        <v>252</v>
      </c>
      <c r="C66" t="s">
        <v>253</v>
      </c>
      <c r="D66" t="s">
        <v>254</v>
      </c>
      <c r="E66" t="s">
        <v>18</v>
      </c>
      <c r="F66">
        <v>3</v>
      </c>
      <c r="G66">
        <v>3</v>
      </c>
      <c r="H66">
        <v>3</v>
      </c>
      <c r="I66">
        <f t="shared" ref="I66:I97" si="6">F66+G66+H66</f>
        <v>9</v>
      </c>
      <c r="J66">
        <v>6</v>
      </c>
      <c r="K66">
        <v>9</v>
      </c>
      <c r="L66">
        <v>12</v>
      </c>
      <c r="M66">
        <f t="shared" ref="M66:M97" si="7">(J66+4*K66+L66)/6</f>
        <v>9</v>
      </c>
      <c r="N66">
        <f t="shared" ref="N66:N85" si="8">(( L66-J66)/6)^2</f>
        <v>1</v>
      </c>
      <c r="O66" t="s">
        <v>239</v>
      </c>
    </row>
    <row r="67" spans="1:15" x14ac:dyDescent="0.2">
      <c r="A67">
        <v>9</v>
      </c>
      <c r="B67" t="s">
        <v>255</v>
      </c>
      <c r="C67" t="s">
        <v>256</v>
      </c>
      <c r="D67" t="s">
        <v>257</v>
      </c>
      <c r="E67" t="s">
        <v>18</v>
      </c>
      <c r="F67">
        <v>2</v>
      </c>
      <c r="G67">
        <v>2</v>
      </c>
      <c r="H67">
        <v>2</v>
      </c>
      <c r="I67">
        <f t="shared" si="6"/>
        <v>6</v>
      </c>
      <c r="J67">
        <v>4</v>
      </c>
      <c r="K67">
        <v>6</v>
      </c>
      <c r="L67">
        <v>9</v>
      </c>
      <c r="M67">
        <f t="shared" si="7"/>
        <v>6.166666666666667</v>
      </c>
      <c r="N67">
        <f t="shared" si="8"/>
        <v>0.69444444444444453</v>
      </c>
      <c r="O67" t="s">
        <v>239</v>
      </c>
    </row>
    <row r="68" spans="1:15" x14ac:dyDescent="0.2">
      <c r="A68">
        <v>10</v>
      </c>
      <c r="B68" t="s">
        <v>258</v>
      </c>
      <c r="C68" t="s">
        <v>259</v>
      </c>
      <c r="D68" t="s">
        <v>260</v>
      </c>
      <c r="E68" t="s">
        <v>18</v>
      </c>
      <c r="F68">
        <v>2</v>
      </c>
      <c r="G68">
        <v>2</v>
      </c>
      <c r="H68">
        <v>2</v>
      </c>
      <c r="I68">
        <f t="shared" si="6"/>
        <v>6</v>
      </c>
      <c r="J68">
        <v>4</v>
      </c>
      <c r="K68">
        <v>6</v>
      </c>
      <c r="L68">
        <v>8</v>
      </c>
      <c r="M68">
        <f t="shared" si="7"/>
        <v>6</v>
      </c>
      <c r="N68">
        <f t="shared" si="8"/>
        <v>0.44444444444444442</v>
      </c>
      <c r="O68" t="s">
        <v>239</v>
      </c>
    </row>
    <row r="69" spans="1:15" x14ac:dyDescent="0.2">
      <c r="A69">
        <v>10</v>
      </c>
      <c r="B69" t="s">
        <v>261</v>
      </c>
      <c r="C69" t="s">
        <v>262</v>
      </c>
      <c r="D69" t="s">
        <v>263</v>
      </c>
      <c r="E69" t="s">
        <v>18</v>
      </c>
      <c r="F69">
        <v>3</v>
      </c>
      <c r="G69">
        <v>3</v>
      </c>
      <c r="H69">
        <v>3</v>
      </c>
      <c r="I69">
        <f t="shared" si="6"/>
        <v>9</v>
      </c>
      <c r="J69">
        <v>6</v>
      </c>
      <c r="K69">
        <v>9</v>
      </c>
      <c r="L69">
        <v>13</v>
      </c>
      <c r="M69">
        <f t="shared" si="7"/>
        <v>9.1666666666666661</v>
      </c>
      <c r="N69">
        <f t="shared" si="8"/>
        <v>1.3611111111111114</v>
      </c>
      <c r="O69" t="s">
        <v>239</v>
      </c>
    </row>
    <row r="70" spans="1:15" x14ac:dyDescent="0.2">
      <c r="A70">
        <v>10</v>
      </c>
      <c r="B70" t="s">
        <v>264</v>
      </c>
      <c r="C70" t="s">
        <v>265</v>
      </c>
      <c r="D70" t="s">
        <v>266</v>
      </c>
      <c r="E70" t="s">
        <v>18</v>
      </c>
      <c r="F70">
        <v>2</v>
      </c>
      <c r="G70">
        <v>2</v>
      </c>
      <c r="H70">
        <v>2</v>
      </c>
      <c r="I70">
        <f t="shared" si="6"/>
        <v>6</v>
      </c>
      <c r="J70">
        <v>4</v>
      </c>
      <c r="K70">
        <v>6</v>
      </c>
      <c r="L70">
        <v>8</v>
      </c>
      <c r="M70">
        <f t="shared" si="7"/>
        <v>6</v>
      </c>
      <c r="N70">
        <f t="shared" si="8"/>
        <v>0.44444444444444442</v>
      </c>
      <c r="O70" t="s">
        <v>239</v>
      </c>
    </row>
    <row r="71" spans="1:15" x14ac:dyDescent="0.2">
      <c r="A71">
        <v>11</v>
      </c>
      <c r="B71" t="s">
        <v>267</v>
      </c>
      <c r="C71" t="s">
        <v>268</v>
      </c>
      <c r="D71" t="s">
        <v>269</v>
      </c>
      <c r="E71" t="s">
        <v>18</v>
      </c>
      <c r="F71">
        <v>3</v>
      </c>
      <c r="G71">
        <v>2</v>
      </c>
      <c r="H71">
        <v>4</v>
      </c>
      <c r="I71">
        <f t="shared" si="6"/>
        <v>9</v>
      </c>
      <c r="J71">
        <v>8</v>
      </c>
      <c r="K71">
        <v>12</v>
      </c>
      <c r="L71">
        <v>16</v>
      </c>
      <c r="M71">
        <f t="shared" si="7"/>
        <v>12</v>
      </c>
      <c r="N71">
        <f t="shared" si="8"/>
        <v>1.7777777777777777</v>
      </c>
      <c r="O71" t="s">
        <v>270</v>
      </c>
    </row>
    <row r="72" spans="1:15" x14ac:dyDescent="0.2">
      <c r="A72">
        <v>11</v>
      </c>
      <c r="B72" t="s">
        <v>271</v>
      </c>
      <c r="C72" t="s">
        <v>272</v>
      </c>
      <c r="D72" t="s">
        <v>273</v>
      </c>
      <c r="E72" t="s">
        <v>18</v>
      </c>
      <c r="F72">
        <v>2</v>
      </c>
      <c r="G72">
        <v>2</v>
      </c>
      <c r="H72">
        <v>3</v>
      </c>
      <c r="I72">
        <f t="shared" si="6"/>
        <v>7</v>
      </c>
      <c r="J72">
        <v>5</v>
      </c>
      <c r="K72">
        <v>7</v>
      </c>
      <c r="L72">
        <v>10</v>
      </c>
      <c r="M72">
        <f t="shared" si="7"/>
        <v>7.166666666666667</v>
      </c>
      <c r="N72">
        <f t="shared" si="8"/>
        <v>0.69444444444444453</v>
      </c>
      <c r="O72" t="s">
        <v>274</v>
      </c>
    </row>
    <row r="73" spans="1:15" x14ac:dyDescent="0.2">
      <c r="A73">
        <v>11</v>
      </c>
      <c r="B73" t="s">
        <v>275</v>
      </c>
      <c r="C73" t="s">
        <v>276</v>
      </c>
      <c r="D73" t="s">
        <v>277</v>
      </c>
      <c r="E73" t="s">
        <v>18</v>
      </c>
      <c r="F73">
        <v>2</v>
      </c>
      <c r="G73">
        <v>3</v>
      </c>
      <c r="H73">
        <v>3</v>
      </c>
      <c r="I73">
        <f t="shared" si="6"/>
        <v>8</v>
      </c>
      <c r="J73">
        <v>6</v>
      </c>
      <c r="K73">
        <v>8</v>
      </c>
      <c r="L73">
        <v>12</v>
      </c>
      <c r="M73">
        <f t="shared" si="7"/>
        <v>8.3333333333333339</v>
      </c>
      <c r="N73">
        <f t="shared" si="8"/>
        <v>1</v>
      </c>
      <c r="O73" t="s">
        <v>278</v>
      </c>
    </row>
    <row r="74" spans="1:15" x14ac:dyDescent="0.2">
      <c r="A74">
        <v>11</v>
      </c>
      <c r="B74" t="s">
        <v>279</v>
      </c>
      <c r="C74" t="s">
        <v>280</v>
      </c>
      <c r="D74" t="s">
        <v>281</v>
      </c>
      <c r="E74" t="s">
        <v>18</v>
      </c>
      <c r="F74">
        <v>4</v>
      </c>
      <c r="G74">
        <v>4</v>
      </c>
      <c r="H74">
        <v>4</v>
      </c>
      <c r="I74">
        <f t="shared" si="6"/>
        <v>12</v>
      </c>
      <c r="J74">
        <v>9</v>
      </c>
      <c r="K74">
        <v>12</v>
      </c>
      <c r="L74">
        <v>17</v>
      </c>
      <c r="M74">
        <f t="shared" si="7"/>
        <v>12.333333333333334</v>
      </c>
      <c r="N74">
        <f t="shared" si="8"/>
        <v>1.7777777777777777</v>
      </c>
      <c r="O74" t="s">
        <v>282</v>
      </c>
    </row>
    <row r="75" spans="1:15" x14ac:dyDescent="0.2">
      <c r="A75">
        <v>11</v>
      </c>
      <c r="B75" t="s">
        <v>283</v>
      </c>
      <c r="C75" t="s">
        <v>284</v>
      </c>
      <c r="D75" t="s">
        <v>285</v>
      </c>
      <c r="E75" t="s">
        <v>18</v>
      </c>
      <c r="F75">
        <v>4</v>
      </c>
      <c r="G75">
        <v>5</v>
      </c>
      <c r="H75">
        <v>4</v>
      </c>
      <c r="I75">
        <f t="shared" si="6"/>
        <v>13</v>
      </c>
      <c r="J75">
        <v>10</v>
      </c>
      <c r="K75">
        <v>13</v>
      </c>
      <c r="L75">
        <v>18</v>
      </c>
      <c r="M75">
        <f t="shared" si="7"/>
        <v>13.333333333333334</v>
      </c>
      <c r="N75">
        <f t="shared" si="8"/>
        <v>1.7777777777777777</v>
      </c>
      <c r="O75" t="s">
        <v>286</v>
      </c>
    </row>
    <row r="76" spans="1:15" x14ac:dyDescent="0.2">
      <c r="A76">
        <v>11</v>
      </c>
      <c r="B76" t="s">
        <v>287</v>
      </c>
      <c r="C76" t="s">
        <v>288</v>
      </c>
      <c r="D76" t="s">
        <v>289</v>
      </c>
      <c r="E76" t="s">
        <v>18</v>
      </c>
      <c r="F76">
        <v>3</v>
      </c>
      <c r="G76">
        <v>4</v>
      </c>
      <c r="H76">
        <v>4</v>
      </c>
      <c r="I76">
        <f t="shared" si="6"/>
        <v>11</v>
      </c>
      <c r="J76">
        <v>8</v>
      </c>
      <c r="K76">
        <v>11</v>
      </c>
      <c r="L76">
        <v>15</v>
      </c>
      <c r="M76">
        <f t="shared" si="7"/>
        <v>11.166666666666666</v>
      </c>
      <c r="N76">
        <f t="shared" si="8"/>
        <v>1.3611111111111114</v>
      </c>
      <c r="O76" t="s">
        <v>290</v>
      </c>
    </row>
    <row r="77" spans="1:15" x14ac:dyDescent="0.2">
      <c r="A77">
        <v>11</v>
      </c>
      <c r="B77" t="s">
        <v>291</v>
      </c>
      <c r="C77" t="s">
        <v>292</v>
      </c>
      <c r="D77" t="s">
        <v>293</v>
      </c>
      <c r="E77" t="s">
        <v>84</v>
      </c>
      <c r="F77">
        <v>4</v>
      </c>
      <c r="G77">
        <v>4</v>
      </c>
      <c r="H77">
        <v>4</v>
      </c>
      <c r="I77">
        <f t="shared" si="6"/>
        <v>12</v>
      </c>
      <c r="J77">
        <v>8</v>
      </c>
      <c r="K77">
        <v>12</v>
      </c>
      <c r="L77">
        <v>17</v>
      </c>
      <c r="M77">
        <f t="shared" si="7"/>
        <v>12.166666666666666</v>
      </c>
      <c r="N77">
        <f t="shared" si="8"/>
        <v>2.25</v>
      </c>
      <c r="O77" t="s">
        <v>294</v>
      </c>
    </row>
    <row r="78" spans="1:15" x14ac:dyDescent="0.2">
      <c r="A78">
        <v>11</v>
      </c>
      <c r="B78" t="s">
        <v>295</v>
      </c>
      <c r="C78" t="s">
        <v>296</v>
      </c>
      <c r="D78" t="s">
        <v>297</v>
      </c>
      <c r="E78" t="s">
        <v>18</v>
      </c>
      <c r="F78">
        <v>2</v>
      </c>
      <c r="G78">
        <v>3</v>
      </c>
      <c r="H78">
        <v>3</v>
      </c>
      <c r="I78">
        <f t="shared" si="6"/>
        <v>8</v>
      </c>
      <c r="J78">
        <v>6</v>
      </c>
      <c r="K78">
        <v>9</v>
      </c>
      <c r="L78">
        <v>13</v>
      </c>
      <c r="M78">
        <f t="shared" si="7"/>
        <v>9.1666666666666661</v>
      </c>
      <c r="N78">
        <f t="shared" si="8"/>
        <v>1.3611111111111114</v>
      </c>
      <c r="O78" t="s">
        <v>298</v>
      </c>
    </row>
    <row r="79" spans="1:15" x14ac:dyDescent="0.2">
      <c r="A79">
        <v>11</v>
      </c>
      <c r="B79" t="s">
        <v>299</v>
      </c>
      <c r="C79" t="s">
        <v>300</v>
      </c>
      <c r="D79" t="s">
        <v>301</v>
      </c>
      <c r="E79" t="s">
        <v>18</v>
      </c>
      <c r="F79">
        <v>3</v>
      </c>
      <c r="G79">
        <v>2</v>
      </c>
      <c r="H79">
        <v>3</v>
      </c>
      <c r="I79">
        <f t="shared" si="6"/>
        <v>8</v>
      </c>
      <c r="J79">
        <v>5</v>
      </c>
      <c r="K79">
        <v>7</v>
      </c>
      <c r="L79">
        <v>10</v>
      </c>
      <c r="M79">
        <f t="shared" si="7"/>
        <v>7.166666666666667</v>
      </c>
      <c r="N79">
        <f t="shared" si="8"/>
        <v>0.69444444444444453</v>
      </c>
      <c r="O79" t="s">
        <v>302</v>
      </c>
    </row>
    <row r="80" spans="1:15" x14ac:dyDescent="0.2">
      <c r="A80">
        <v>11</v>
      </c>
      <c r="B80" t="s">
        <v>303</v>
      </c>
      <c r="C80" t="s">
        <v>304</v>
      </c>
      <c r="D80" t="s">
        <v>305</v>
      </c>
      <c r="E80" t="s">
        <v>84</v>
      </c>
      <c r="F80">
        <v>3</v>
      </c>
      <c r="G80">
        <v>3</v>
      </c>
      <c r="H80">
        <v>3</v>
      </c>
      <c r="I80">
        <f t="shared" si="6"/>
        <v>9</v>
      </c>
      <c r="J80">
        <v>7</v>
      </c>
      <c r="K80">
        <v>10</v>
      </c>
      <c r="L80">
        <v>14</v>
      </c>
      <c r="M80">
        <f t="shared" si="7"/>
        <v>10.166666666666666</v>
      </c>
      <c r="N80">
        <f t="shared" si="8"/>
        <v>1.3611111111111114</v>
      </c>
      <c r="O80" t="s">
        <v>306</v>
      </c>
    </row>
    <row r="81" spans="1:15" x14ac:dyDescent="0.2">
      <c r="A81">
        <v>12</v>
      </c>
      <c r="B81" t="s">
        <v>307</v>
      </c>
      <c r="C81" t="s">
        <v>308</v>
      </c>
      <c r="D81" t="s">
        <v>309</v>
      </c>
      <c r="E81" t="s">
        <v>84</v>
      </c>
      <c r="F81">
        <v>3</v>
      </c>
      <c r="G81">
        <v>4</v>
      </c>
      <c r="H81">
        <v>3</v>
      </c>
      <c r="I81">
        <f t="shared" si="6"/>
        <v>10</v>
      </c>
      <c r="J81">
        <v>7</v>
      </c>
      <c r="K81">
        <v>10</v>
      </c>
      <c r="L81">
        <v>14</v>
      </c>
      <c r="M81">
        <f t="shared" si="7"/>
        <v>10.166666666666666</v>
      </c>
      <c r="N81">
        <f t="shared" si="8"/>
        <v>1.3611111111111114</v>
      </c>
      <c r="O81" t="s">
        <v>310</v>
      </c>
    </row>
    <row r="82" spans="1:15" x14ac:dyDescent="0.2">
      <c r="A82">
        <v>12</v>
      </c>
      <c r="B82" t="s">
        <v>311</v>
      </c>
      <c r="C82" t="s">
        <v>312</v>
      </c>
      <c r="D82" t="s">
        <v>313</v>
      </c>
      <c r="E82" t="s">
        <v>84</v>
      </c>
      <c r="F82">
        <v>3</v>
      </c>
      <c r="G82">
        <v>4</v>
      </c>
      <c r="H82">
        <v>3</v>
      </c>
      <c r="I82">
        <f t="shared" si="6"/>
        <v>10</v>
      </c>
      <c r="J82">
        <v>7</v>
      </c>
      <c r="K82">
        <v>10</v>
      </c>
      <c r="L82">
        <v>14</v>
      </c>
      <c r="M82">
        <f t="shared" si="7"/>
        <v>10.166666666666666</v>
      </c>
      <c r="N82">
        <f t="shared" si="8"/>
        <v>1.3611111111111114</v>
      </c>
      <c r="O82" t="s">
        <v>310</v>
      </c>
    </row>
    <row r="83" spans="1:15" x14ac:dyDescent="0.2">
      <c r="A83">
        <v>12</v>
      </c>
      <c r="B83" t="s">
        <v>314</v>
      </c>
      <c r="C83" t="s">
        <v>315</v>
      </c>
      <c r="D83" t="s">
        <v>316</v>
      </c>
      <c r="E83" t="s">
        <v>84</v>
      </c>
      <c r="F83">
        <v>4</v>
      </c>
      <c r="G83">
        <v>3</v>
      </c>
      <c r="H83">
        <v>4</v>
      </c>
      <c r="I83">
        <f t="shared" si="6"/>
        <v>11</v>
      </c>
      <c r="J83">
        <v>8</v>
      </c>
      <c r="K83">
        <v>12</v>
      </c>
      <c r="L83">
        <v>17</v>
      </c>
      <c r="M83">
        <f t="shared" si="7"/>
        <v>12.166666666666666</v>
      </c>
      <c r="N83">
        <f t="shared" si="8"/>
        <v>2.25</v>
      </c>
      <c r="O83" t="s">
        <v>317</v>
      </c>
    </row>
    <row r="84" spans="1:15" x14ac:dyDescent="0.2">
      <c r="A84">
        <v>13</v>
      </c>
      <c r="B84" t="s">
        <v>318</v>
      </c>
      <c r="C84" t="s">
        <v>319</v>
      </c>
      <c r="D84" t="s">
        <v>320</v>
      </c>
      <c r="E84" t="s">
        <v>84</v>
      </c>
      <c r="F84">
        <v>3</v>
      </c>
      <c r="G84">
        <v>2</v>
      </c>
      <c r="H84">
        <v>3</v>
      </c>
      <c r="I84">
        <f t="shared" si="6"/>
        <v>8</v>
      </c>
      <c r="J84">
        <v>6</v>
      </c>
      <c r="K84">
        <v>8</v>
      </c>
      <c r="L84">
        <v>11</v>
      </c>
      <c r="M84">
        <f t="shared" si="7"/>
        <v>8.1666666666666661</v>
      </c>
      <c r="N84">
        <f t="shared" si="8"/>
        <v>0.69444444444444453</v>
      </c>
      <c r="O84" t="s">
        <v>321</v>
      </c>
    </row>
    <row r="85" spans="1:15" x14ac:dyDescent="0.2">
      <c r="A85">
        <v>13</v>
      </c>
      <c r="B85" t="s">
        <v>322</v>
      </c>
      <c r="C85" t="s">
        <v>323</v>
      </c>
      <c r="D85" t="s">
        <v>324</v>
      </c>
      <c r="E85" t="s">
        <v>84</v>
      </c>
      <c r="F85">
        <v>3</v>
      </c>
      <c r="G85">
        <v>3</v>
      </c>
      <c r="H85">
        <v>3</v>
      </c>
      <c r="I85">
        <f t="shared" si="6"/>
        <v>9</v>
      </c>
      <c r="J85">
        <v>7</v>
      </c>
      <c r="K85">
        <v>9</v>
      </c>
      <c r="L85">
        <v>13</v>
      </c>
      <c r="M85">
        <f t="shared" si="7"/>
        <v>9.3333333333333339</v>
      </c>
      <c r="N85">
        <f t="shared" si="8"/>
        <v>1</v>
      </c>
      <c r="O85" t="s">
        <v>325</v>
      </c>
    </row>
    <row r="86" spans="1:15" x14ac:dyDescent="0.2">
      <c r="A86" t="s">
        <v>326</v>
      </c>
      <c r="F86">
        <f t="shared" ref="B86:N86" si="9">SUM(F2:F85)</f>
        <v>261</v>
      </c>
      <c r="G86">
        <f t="shared" si="9"/>
        <v>254</v>
      </c>
      <c r="H86">
        <f t="shared" si="9"/>
        <v>271</v>
      </c>
      <c r="I86">
        <f t="shared" si="9"/>
        <v>786</v>
      </c>
      <c r="J86">
        <f t="shared" si="9"/>
        <v>569</v>
      </c>
      <c r="K86">
        <f t="shared" si="9"/>
        <v>791</v>
      </c>
      <c r="L86">
        <f t="shared" si="9"/>
        <v>1130</v>
      </c>
      <c r="M86">
        <f t="shared" si="9"/>
        <v>810.49999999999989</v>
      </c>
      <c r="N86">
        <f t="shared" si="9"/>
        <v>117.41666666666661</v>
      </c>
    </row>
  </sheetData>
  <pageMargins left="0.7" right="0.7" top="0.75" bottom="0.75" header="0.3" footer="0.3"/>
  <ignoredErrors>
    <ignoredError sqref="A1:O13 A15:O85 A14 C14:O14 A86 F86:O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2025-08-12T22:41:47Z</dcterms:modified>
</cp:coreProperties>
</file>